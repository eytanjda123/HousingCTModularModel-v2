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 Me" sheetId="1" state="visible" r:id="rId3"/>
    <sheet name="Design Catalog" sheetId="2" state="visible" r:id="rId4"/>
    <sheet name="Model Comparison" sheetId="3" state="visible" r:id="rId5"/>
    <sheet name="Sources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<sst xmlns="http://schemas.openxmlformats.org/spreadsheetml/2006/main" count="306" uniqueCount="221">
  <si>
    <t xml:space="preserve">Reframe Design Options for the Housing CT Prefab Model</t>
  </si>
  <si>
    <t xml:space="preserve">Prepared Oct 28, 2026 for the Housing CT Prefab Modular team (Hartford, New Haven, Waterbury).</t>
  </si>
  <si>
    <t xml:space="preserve">What's here</t>
  </si>
  <si>
    <t xml:space="preserve">Design Catalog: every product in Reframe's 'All Products' plan folder, with units, bedrooms, sizes, footprint and status.</t>
  </si>
  <si>
    <t xml:space="preserve">Model Comparison: the five designs that fit our model (two or more units), run through the Prefab Gap Explorer for all three cities, plus a live check that scales the appraisal with building size.</t>
  </si>
  <si>
    <t xml:space="preserve">Sources: where each number comes from.</t>
  </si>
  <si>
    <t xml:space="preserve">How to read it</t>
  </si>
  <si>
    <t xml:space="preserve">Yellow cells with blue text are inputs you can change. Black text is a formula or a fixed result.</t>
  </si>
  <si>
    <t xml:space="preserve">Results labeled 'From the explorer' are fixed values from the explorer (v2) at its defaults on Oct 28, 2026: 80% AMI owner, rental at 60% AMI, Reframe placeholder costs at a 10-building order, $340K appraisal. Change a design in the explorer with the 'Building design' selector to see it live.</t>
  </si>
  <si>
    <t xml:space="preserve">Areas are as drawn on Reframe's concept plan sets (not for construction). Two sizes are our estimates from the drawing dimensions and are flagged 'Estimate'.</t>
  </si>
  <si>
    <t xml:space="preserve">Important: the explorer keeps the appraisal at $340K for every design. Bigger buildings would appraise higher, so the Model Comparison tab also shows the developer gap with the appraisal scaled by gross square feet.</t>
  </si>
  <si>
    <t xml:space="preserve">Product</t>
  </si>
  <si>
    <t xml:space="preserve">Building type</t>
  </si>
  <si>
    <t xml:space="preserve">Stories</t>
  </si>
  <si>
    <t xml:space="preserve">Units</t>
  </si>
  <si>
    <t xml:space="preserve">Bedrooms / baths per unit</t>
  </si>
  <si>
    <t xml:space="preserve">Unit sizes (sq ft)</t>
  </si>
  <si>
    <t xml:space="preserve">Total area (sq ft)</t>
  </si>
  <si>
    <t xml:space="preserve">Footprint / width</t>
  </si>
  <si>
    <t xml:space="preserve">Example project or client</t>
  </si>
  <si>
    <t xml:space="preserve">Status</t>
  </si>
  <si>
    <t xml:space="preserve">Area basis</t>
  </si>
  <si>
    <t xml:space="preserve">Fits our model?</t>
  </si>
  <si>
    <t xml:space="preserve">Notes</t>
  </si>
  <si>
    <t xml:space="preserve">Plan file (Reframe All Products folder)</t>
  </si>
  <si>
    <t xml:space="preserve">Stacked Duplex</t>
  </si>
  <si>
    <t xml:space="preserve">Two-family, stacked</t>
  </si>
  <si>
    <t xml:space="preserve">Unit 1: 2BR/1BA flat; Unit 2: 3BR/2BA over two levels</t>
  </si>
  <si>
    <t xml:space="preserve">1,024 (Unit 1); 1,729 (Unit 2); 53 common</t>
  </si>
  <si>
    <t xml:space="preserve">About 23 ft wide</t>
  </si>
  <si>
    <t xml:space="preserve">Welcome Home Boston two-family RFP (with Oxbow Urban, Genuine Construction, DVM Housing)</t>
  </si>
  <si>
    <t xml:space="preserve">Concept / RFP</t>
  </si>
  <si>
    <t xml:space="preserve">Labeled on plans</t>
  </si>
  <si>
    <t xml:space="preserve">Yes: preset</t>
  </si>
  <si>
    <t xml:space="preserve">Closest match to our owner-occupied two-family. Total includes ~836 sq ft on level 3 not assigned to a unit.</t>
  </si>
  <si>
    <t xml:space="preserve">Stacked Duplex/01-Two Family Area Plans_Reframe.pdf</t>
  </si>
  <si>
    <t xml:space="preserve">Triple Decker 23 ft</t>
  </si>
  <si>
    <t xml:space="preserve">Three-family, one flat per floor</t>
  </si>
  <si>
    <t xml:space="preserve">2BR/2BA + flex room</t>
  </si>
  <si>
    <t xml:space="preserve">About 1,100 per floor (estimate)</t>
  </si>
  <si>
    <t xml:space="preserve">23 ft x ~50 ft</t>
  </si>
  <si>
    <t xml:space="preserve">Built design (plans dated Aug 2022)</t>
  </si>
  <si>
    <t xml:space="preserve">Built</t>
  </si>
  <si>
    <t xml:space="preserve">Estimate from dimensions</t>
  </si>
  <si>
    <t xml:space="preserve">Existing design: Reframe says 1–2 months to adapt vs 8–10 for new multifamily.</t>
  </si>
  <si>
    <t xml:space="preserve">Triple Decker 2B 2BA/Triple Decker 23_ Plans.pdf</t>
  </si>
  <si>
    <t xml:space="preserve">Triple Decker 27 ft</t>
  </si>
  <si>
    <t xml:space="preserve">3BR/2BA</t>
  </si>
  <si>
    <t xml:space="preserve">About 1,300 per floor (estimate); labeled rooms ~1,000 net</t>
  </si>
  <si>
    <t xml:space="preserve">27 ft wide</t>
  </si>
  <si>
    <t xml:space="preserve">13 Gilman St, Somerville MA (permit set Nov 2024)</t>
  </si>
  <si>
    <t xml:space="preserve">Estimate from drawing scale</t>
  </si>
  <si>
    <t xml:space="preserve">Rooftop solar on the roof plan.</t>
  </si>
  <si>
    <t xml:space="preserve">Triple Decker - 27_ 3B 2BA/Triple Decker 27_ Floor Plans.pdf</t>
  </si>
  <si>
    <t xml:space="preserve">Double Triple Decker</t>
  </si>
  <si>
    <t xml:space="preserve">Multifamily, two triple-deckers joined</t>
  </si>
  <si>
    <t xml:space="preserve">To confirm</t>
  </si>
  <si>
    <t xml:space="preserve">Mix of flats per floor</t>
  </si>
  <si>
    <t xml:space="preserve">Not labeled</t>
  </si>
  <si>
    <t xml:space="preserve">Two triple-decker bodies sharing 1-hr rated walls</t>
  </si>
  <si>
    <t xml:space="preserve">Rendering titled 'Decaplex'</t>
  </si>
  <si>
    <t xml:space="preserve">Design</t>
  </si>
  <si>
    <t xml:space="preserve">Not yet (unit count unclear)</t>
  </si>
  <si>
    <t xml:space="preserve">Ask Reframe for unit count and areas.</t>
  </si>
  <si>
    <t xml:space="preserve">Double Triple Decker/Double Triple Decker Plans.pdf</t>
  </si>
  <si>
    <t xml:space="preserve">Duplex Townhome</t>
  </si>
  <si>
    <t xml:space="preserve">Two-family, side by side</t>
  </si>
  <si>
    <t xml:space="preserve">2BR/1.5BA each</t>
  </si>
  <si>
    <t xml:space="preserve">1,120 each + 615 basement each</t>
  </si>
  <si>
    <t xml:space="preserve">~40 ft x 34 ft</t>
  </si>
  <si>
    <t xml:space="preserve">4 Sandwich Rd, Falmouth MA (Barone Galasso &amp; Associates)</t>
  </si>
  <si>
    <t xml:space="preserve">Concept</t>
  </si>
  <si>
    <t xml:space="preserve">Basements are site-built and excluded from the GSF.</t>
  </si>
  <si>
    <t xml:space="preserve">Duplex Townhome/Duplex Townhome Floor Plans.pdf</t>
  </si>
  <si>
    <t xml:space="preserve">3-Story Townhouse</t>
  </si>
  <si>
    <t xml:space="preserve">Single-family townhouse</t>
  </si>
  <si>
    <t xml:space="preserve">2BR + office / 2.5BA, garage</t>
  </si>
  <si>
    <t xml:space="preserve">758 per floor</t>
  </si>
  <si>
    <t xml:space="preserve">19 ft x 39 ft</t>
  </si>
  <si>
    <t xml:space="preserve">25 River Street (4-townhouse site, shared drive aisle)</t>
  </si>
  <si>
    <t xml:space="preserve">Schematic</t>
  </si>
  <si>
    <t xml:space="preserve">No: single-family</t>
  </si>
  <si>
    <t xml:space="preserve">Same 2,274 sq ft as our base case. A 2-story version is 1,516 sq ft. Can sit on a site-built basement.</t>
  </si>
  <si>
    <t xml:space="preserve">25 River Street Townhouse/260415_3 Story Townhouse Floor Plans_Rev01.pdf</t>
  </si>
  <si>
    <t xml:space="preserve">Townhome 2B 1BA</t>
  </si>
  <si>
    <t xml:space="preserve">Rowhouses</t>
  </si>
  <si>
    <t xml:space="preserve">Rows of 5+</t>
  </si>
  <si>
    <t xml:space="preserve">2BR/1BA</t>
  </si>
  <si>
    <t xml:space="preserve">About 1,000 each (estimate)</t>
  </si>
  <si>
    <t xml:space="preserve">14 ft 10 in per unit</t>
  </si>
  <si>
    <t xml:space="preserve">Plans dated Oct 2025</t>
  </si>
  <si>
    <t xml:space="preserve">No: single-family rows</t>
  </si>
  <si>
    <t xml:space="preserve">Could suit fee-simple rows on narrow lots.</t>
  </si>
  <si>
    <t xml:space="preserve">Townhome 2B 1BA/Townhome Plans 2B 1BA.pdf</t>
  </si>
  <si>
    <t xml:space="preserve">Large Townhome</t>
  </si>
  <si>
    <t xml:space="preserve">Rowhouses with garages</t>
  </si>
  <si>
    <t xml:space="preserve">A: 3BR/2BA/office; B: 2BR/1.5BA/office; C: 2BR/2BA/loft</t>
  </si>
  <si>
    <t xml:space="preserve">6 units across 92.5 ft x 43 ft deep</t>
  </si>
  <si>
    <t xml:space="preserve">Ivory Homes (Fieldworks submission Aug 2025)</t>
  </si>
  <si>
    <t xml:space="preserve">Garages and balconies field-installed.</t>
  </si>
  <si>
    <t xml:space="preserve">Townhome Large/TH - Large.pdf</t>
  </si>
  <si>
    <t xml:space="preserve">Bungalow 3B 2BA</t>
  </si>
  <si>
    <t xml:space="preserve">Single-family, one story</t>
  </si>
  <si>
    <t xml:space="preserve">3BR/2BA, garage</t>
  </si>
  <si>
    <t xml:space="preserve">Rooms labeled; great room 424</t>
  </si>
  <si>
    <t xml:space="preserve">~27 ft wide modules</t>
  </si>
  <si>
    <t xml:space="preserve">3371 Glenrose Ave, Altadena CA (permit set Oct 2025)</t>
  </si>
  <si>
    <t xml:space="preserve">Permitted</t>
  </si>
  <si>
    <t xml:space="preserve">Rooms only</t>
  </si>
  <si>
    <t xml:space="preserve">Paired with a detached ADU on the same sheet.</t>
  </si>
  <si>
    <t xml:space="preserve">Bungalow - 3B 2BA/Bungalow Plans.pdf</t>
  </si>
  <si>
    <t xml:space="preserve">Farmhouse 4B 3BA</t>
  </si>
  <si>
    <t xml:space="preserve">Single-family, two stories + attic</t>
  </si>
  <si>
    <t xml:space="preserve">4BR/3BA</t>
  </si>
  <si>
    <t xml:space="preserve">Rooms labeled</t>
  </si>
  <si>
    <t xml:space="preserve">~26 ft x 38 ft</t>
  </si>
  <si>
    <t xml:space="preserve">Adams Circle (MassDevelopment)</t>
  </si>
  <si>
    <t xml:space="preserve">Permit / 3rd-party review 2025</t>
  </si>
  <si>
    <t xml:space="preserve">Its interior spec package is in the folder (25 Adams).</t>
  </si>
  <si>
    <t xml:space="preserve">Farmhouse - 4B 3BA/Farmhouse Plans.pdf</t>
  </si>
  <si>
    <t xml:space="preserve">ADU 1 Bed</t>
  </si>
  <si>
    <t xml:space="preserve">Accessory dwelling unit</t>
  </si>
  <si>
    <t xml:space="preserve">1BR/1BA</t>
  </si>
  <si>
    <t xml:space="preserve">~33 ft x 23 ft, L-shaped</t>
  </si>
  <si>
    <t xml:space="preserve">216 New Boston St, Woburn MA (permit set Sep 2025)</t>
  </si>
  <si>
    <t xml:space="preserve">No: accessory unit</t>
  </si>
  <si>
    <t xml:space="preserve">Could be a backyard rental on an owner's lot instead of a second unit in the building.</t>
  </si>
  <si>
    <t xml:space="preserve">ADU/1 Bed ADU Dimensioned.pdf</t>
  </si>
  <si>
    <t xml:space="preserve">ADU Studio</t>
  </si>
  <si>
    <t xml:space="preserve">Studio</t>
  </si>
  <si>
    <t xml:space="preserve">Not stated</t>
  </si>
  <si>
    <t xml:space="preserve">ADU/ADU Studio Floor Plan.pdf</t>
  </si>
  <si>
    <t xml:space="preserve">Cabins and hotel villas</t>
  </si>
  <si>
    <t xml:space="preserve">Hospitality / tiny homes</t>
  </si>
  <si>
    <t xml:space="preserve">Studio or 1BR</t>
  </si>
  <si>
    <t xml:space="preserve">320 or 400</t>
  </si>
  <si>
    <t xml:space="preserve">Outdoor accommodations concept (Apr 2026)</t>
  </si>
  <si>
    <t xml:space="preserve">Labeled</t>
  </si>
  <si>
    <t xml:space="preserve">No</t>
  </si>
  <si>
    <t xml:space="preserve">Not housing for this project.</t>
  </si>
  <si>
    <t xml:space="preserve">Cabins &amp; Tiny Homes/Reframe Systems - 400sf Hotel Villas.pdf</t>
  </si>
  <si>
    <t xml:space="preserve">Standard interior spec package</t>
  </si>
  <si>
    <t xml:space="preserve">Finishes specification</t>
  </si>
  <si>
    <t xml:space="preserve">25 Adams (Mar 2026), 21 pages</t>
  </si>
  <si>
    <t xml:space="preserve">Reference</t>
  </si>
  <si>
    <t xml:space="preserve">Flooring, bath fixtures, faucets, finishes: useful for the finish-level assumption.</t>
  </si>
  <si>
    <t xml:space="preserve">Standard Spec Packages/260317 - 25 Adams Interior Spec Package (1).pdf</t>
  </si>
  <si>
    <t xml:space="preserve">Reframe designs run through the model</t>
  </si>
  <si>
    <t xml:space="preserve">Yellow = input. Inputs and the cost and appraisal checks are live formulas; rows marked 'From the explorer' are fixed values (explorer v2 defaults, Oct 28, 2026).</t>
  </si>
  <si>
    <t xml:space="preserve">Design inputs</t>
  </si>
  <si>
    <t xml:space="preserve">Team base case (course sizes)</t>
  </si>
  <si>
    <t xml:space="preserve">Reframe Stacked Duplex</t>
  </si>
  <si>
    <t xml:space="preserve">Reframe Triple Decker 23 ft (2BR flats)</t>
  </si>
  <si>
    <t xml:space="preserve">Reframe Triple Decker 27 ft (3BR flats)</t>
  </si>
  <si>
    <t xml:space="preserve">Reframe Duplex Townhome (side by side)</t>
  </si>
  <si>
    <t xml:space="preserve">Units in the building</t>
  </si>
  <si>
    <t xml:space="preserve">Owner unit bedrooms</t>
  </si>
  <si>
    <t xml:space="preserve">3BR</t>
  </si>
  <si>
    <t xml:space="preserve">2BR</t>
  </si>
  <si>
    <t xml:space="preserve">Rental unit bedrooms</t>
  </si>
  <si>
    <t xml:space="preserve">Owner unit net sq ft</t>
  </si>
  <si>
    <t xml:space="preserve">Each rental unit net sq ft</t>
  </si>
  <si>
    <t xml:space="preserve">Gross-up (net to gross)</t>
  </si>
  <si>
    <t xml:space="preserve">Size from the plans or estimated?</t>
  </si>
  <si>
    <t xml:space="preserve">From the plans</t>
  </si>
  <si>
    <t xml:space="preserve">Estimate</t>
  </si>
  <si>
    <t xml:space="preserve">Course calculator sizes: 1,150 sq ft 3BR owner unit + 880 sq ft 2BR rental, 12% gross-up (2,274 GSF).</t>
  </si>
  <si>
    <t xml:space="preserve">Reframe two-family for Boston's Welcome Home RFP. Owner takes the 1,729 sq ft unit on levels 2–3 (3BR); the 1,024 sq ft level-1 flat is the rental (2BR). Gross-up matches Reframe's 3,642 sq ft total building area, which includes about 836 sq ft on level 3 not assigned to either unit; set it to about 1.02 if that space is a roof deck.</t>
  </si>
  <si>
    <t xml:space="preserve">Reframe's built triple-decker: a 2BR/2BA flat with a flex room on each floor, 23 ft wide and about 50 ft deep. About 1,100 sq ft per floor is our estimate from the drawing dimensions; Reframe did not label areas. An existing design: about 1–2 months to adapt.</t>
  </si>
  <si>
    <t xml:space="preserve">Reframe's built 27 ft triple-decker (13 Gilman St, Somerville), a 3BR/2BA flat per floor with rooftop solar. About 1,300 sq ft per floor is our estimate from the drawing scale; labeled room areas sum to about 1,000 sq ft net.</t>
  </si>
  <si>
    <t xml:space="preserve">Two side-by-side 2BR/1.5BA townhomes of 1,120 sq ft each, plus a 615 sq ft basement each (site-built, not in the GSF here).</t>
  </si>
  <si>
    <t xml:space="preserve">Cost assumptions (shared)</t>
  </si>
  <si>
    <t xml:space="preserve">Factory cost, $/GSF at a 10-building order</t>
  </si>
  <si>
    <t xml:space="preserve">Explorer: Reframe faculty placeholder $215/GSF at volume 1, less 5% per doubling of the order</t>
  </si>
  <si>
    <t xml:space="preserve">Field cost, $/GSF at a 10-building order</t>
  </si>
  <si>
    <t xml:space="preserve">Explorer: placeholder $88/GSF at volume 1, less 3% per doubling</t>
  </si>
  <si>
    <t xml:space="preserve">Transport, crane and set per building</t>
  </si>
  <si>
    <t xml:space="preserve">Explorer: placeholder $22,000 at volume 1, less 5% per doubling</t>
  </si>
  <si>
    <t xml:space="preserve">Site work per building</t>
  </si>
  <si>
    <t xml:space="preserve">Explorer: redacted New Haven infill budget (clearing, utilities, landscape, fence)</t>
  </si>
  <si>
    <t xml:space="preserve">New-build value, $ per gross sq ft</t>
  </si>
  <si>
    <t xml:space="preserve">Explorer base case $340K / 2,274 GSF; consistent with 2024–25 Hartford resales of new two-families at $133–151/sq ft (CT CAMA)</t>
  </si>
  <si>
    <t xml:space="preserve">Live checks</t>
  </si>
  <si>
    <t xml:space="preserve">Net sq ft (all units)</t>
  </si>
  <si>
    <t xml:space="preserve">Gross sq ft (GSF)</t>
  </si>
  <si>
    <t xml:space="preserve">Building cost (factory + field + transport)</t>
  </si>
  <si>
    <t xml:space="preserve">Building + site cost</t>
  </si>
  <si>
    <t xml:space="preserve">Building + site cost per unit</t>
  </si>
  <si>
    <t xml:space="preserve">Appraisal if value scales with GSF</t>
  </si>
  <si>
    <t xml:space="preserve">From the explorer: Hartford</t>
  </si>
  <si>
    <t xml:space="preserve">Total development cost (TDC)</t>
  </si>
  <si>
    <t xml:space="preserve">TDC per unit</t>
  </si>
  <si>
    <t xml:space="preserve">TDC per gross sq ft</t>
  </si>
  <si>
    <t xml:space="preserve">Appraised value used ($340K for every design)</t>
  </si>
  <si>
    <t xml:space="preserve">Rent collected per rental unit, per month</t>
  </si>
  <si>
    <t xml:space="preserve">Developer gap (TDC − appraisal)</t>
  </si>
  <si>
    <t xml:space="preserve">Remaining developer gap after HDF, AHP, HTCC</t>
  </si>
  <si>
    <t xml:space="preserve">Total subsidy needed (TDC − what the buyer pays)</t>
  </si>
  <si>
    <t xml:space="preserve">Owner's net monthly cost</t>
  </si>
  <si>
    <t xml:space="preserve">Owner's net cost as % of income</t>
  </si>
  <si>
    <t xml:space="preserve">Subsidy needed per unit</t>
  </si>
  <si>
    <t xml:space="preserve">Developer gap if the appraisal scales with GSF (live)</t>
  </si>
  <si>
    <t xml:space="preserve">From the explorer: New Haven</t>
  </si>
  <si>
    <t xml:space="preserve">From the explorer: Waterbury</t>
  </si>
  <si>
    <t xml:space="preserve">The remaining gap and owner cost come from the full model and do not update when you change the inputs above. To see a changed design live, use the Building design selector in the explorer.</t>
  </si>
  <si>
    <t xml:space="preserve">Item</t>
  </si>
  <si>
    <t xml:space="preserve">Source</t>
  </si>
  <si>
    <t xml:space="preserve">Design sizes, bedrooms, footprints, status</t>
  </si>
  <si>
    <t xml:space="preserve">Reframe Systems standard plan sets, 'All Products' folder shared with the team (OneDrive: Housing CT MGT Folder/Prefab Modular/Reframe All Products). Concept drawings, not for construction; architect Andrew McCune.</t>
  </si>
  <si>
    <t xml:space="preserve">Triple Decker 23 ft and 27 ft sizes</t>
  </si>
  <si>
    <t xml:space="preserve">Our estimates from the drawing dimensions and scale (Reframe sheets don't label total area). Confirm with Reframe.</t>
  </si>
  <si>
    <t xml:space="preserve">Design time for existing designs</t>
  </si>
  <si>
    <t xml:space="preserve">Yale + Reframe Q&amp;A, Construction Timeline and Cost (Oct 2026): 1–2 months to adapt an existing design vs 8–10 months for new multifamily.</t>
  </si>
  <si>
    <t xml:space="preserve">Cost per sq ft, transport, learning rates</t>
  </si>
  <si>
    <t xml:space="preserve">Prefab Gap Explorer v2, Reframe faculty placeholders (Workshop model Volume Curve tab); placeholders, not quotes.</t>
  </si>
  <si>
    <t xml:space="preserve">Site work</t>
  </si>
  <si>
    <t xml:space="preserve">Redacted New Haven DOH infill budget, as used in the explorer.</t>
  </si>
  <si>
    <t xml:space="preserve">$340K appraisal and $/sq ft</t>
  </si>
  <si>
    <t xml:space="preserve">Explorer base case: DOH new-build precedent ($420K, 2,800 sq ft) scaled to our size; CT CAMA 2024–25 resales of new two-families in Hartford (90–92 Mather St $459,900, 3,040 sq ft; 197–199 Bond St $385,000, 2,884 sq ft).</t>
  </si>
  <si>
    <t xml:space="preserve">All other model results</t>
  </si>
  <si>
    <t xml:space="preserve">Prefab Gap Explorer v2 at defaults, Oct 28, 2026 (https://github.com/eytanjda123/HousingCTModularModel-v2).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</si>
</sst>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#,##0"/>
    <numFmt numFmtId="166" formatCode="0.000"/>
    <numFmt numFmtId="167" formatCode="\$#,##0.00"/>
    <numFmt numFmtId="168" formatCode="\$#,##0"/>
    <numFmt numFmtId="169" formatCode="0.0%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sz val="11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color theme="1"/>
      <name val="Arial"/>
      <family val="0"/>
      <charset val="1"/>
    </font>
    <font>
      <i val="true"/>
      <sz val="11"/>
      <color rgb="FF555555"/>
      <name val="Arial"/>
      <family val="0"/>
      <charset val="1"/>
    </font>
    <font>
      <sz val="11"/>
      <color rgb="FF0000FF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3A5F"/>
        <bgColor rgb="FF333333"/>
      </patternFill>
    </fill>
    <fill>
      <patternFill patternType="solid">
        <fgColor rgb="FFFFF2CC"/>
        <bgColor rgb="FFFFFFFF"/>
      </patternFill>
    </fill>
    <fill>
      <patternFill patternType="solid">
        <fgColor rgb="FFDCE6F1"/>
        <bgColor rgb="FFCC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DCE6F1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1F3A5F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2"/>
    </row>
    <row r="4" customFormat="false" ht="15" hidden="false" customHeight="false" outlineLevel="0" collapsed="false">
      <c r="A4" s="3" t="s">
        <v>2</v>
      </c>
    </row>
    <row r="5" customFormat="false" ht="15" hidden="false" customHeight="false" outlineLevel="0" collapsed="false">
      <c r="A5" s="2" t="s">
        <v>3</v>
      </c>
    </row>
    <row r="6" customFormat="false" ht="26.85" hidden="false" customHeight="false" outlineLevel="0" collapsed="false">
      <c r="A6" s="2" t="s">
        <v>4</v>
      </c>
    </row>
    <row r="7" customFormat="false" ht="15" hidden="false" customHeight="false" outlineLevel="0" collapsed="false">
      <c r="A7" s="2" t="s">
        <v>5</v>
      </c>
    </row>
    <row r="8" customFormat="false" ht="15" hidden="false" customHeight="false" outlineLevel="0" collapsed="false">
      <c r="A8" s="2"/>
    </row>
    <row r="9" customFormat="false" ht="15" hidden="false" customHeight="false" outlineLevel="0" collapsed="false">
      <c r="A9" s="3" t="s">
        <v>6</v>
      </c>
    </row>
    <row r="10" customFormat="false" ht="15" hidden="false" customHeight="false" outlineLevel="0" collapsed="false">
      <c r="A10" s="2" t="s">
        <v>7</v>
      </c>
    </row>
    <row r="11" customFormat="false" ht="39.55" hidden="false" customHeight="false" outlineLevel="0" collapsed="false">
      <c r="A11" s="2" t="s">
        <v>8</v>
      </c>
    </row>
    <row r="12" customFormat="false" ht="26.85" hidden="false" customHeight="false" outlineLevel="0" collapsed="false">
      <c r="A12" s="2" t="s">
        <v>9</v>
      </c>
    </row>
    <row r="13" customFormat="false" ht="26.85" hidden="false" customHeight="false" outlineLevel="0" collapsed="false">
      <c r="A13" s="2" t="s">
        <v>10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22"/>
    <col collapsed="false" customWidth="true" hidden="false" outlineLevel="0" max="3" min="3" style="0" width="8"/>
    <col collapsed="false" customWidth="true" hidden="false" outlineLevel="0" max="4" min="4" style="0" width="10"/>
    <col collapsed="false" customWidth="true" hidden="false" outlineLevel="0" max="6" min="5" style="0" width="30"/>
    <col collapsed="false" customWidth="true" hidden="false" outlineLevel="0" max="7" min="7" style="0" width="12"/>
    <col collapsed="false" customWidth="true" hidden="false" outlineLevel="0" max="8" min="8" style="0" width="24"/>
    <col collapsed="false" customWidth="true" hidden="false" outlineLevel="0" max="9" min="9" style="0" width="34"/>
    <col collapsed="false" customWidth="true" hidden="false" outlineLevel="0" max="10" min="10" style="0" width="14"/>
    <col collapsed="false" customWidth="true" hidden="false" outlineLevel="0" max="12" min="11" style="0" width="18"/>
    <col collapsed="false" customWidth="true" hidden="false" outlineLevel="0" max="13" min="13" style="0" width="40"/>
    <col collapsed="false" customWidth="true" hidden="false" outlineLevel="0" max="14" min="14" style="0" width="46"/>
  </cols>
  <sheetData>
    <row r="1" customFormat="false" ht="26.85" hidden="false" customHeight="false" outlineLevel="0" collapsed="false">
      <c r="A1" s="4" t="s">
        <v>11</v>
      </c>
      <c r="B1" s="4" t="s">
        <v>12</v>
      </c>
      <c r="C1" s="4" t="s">
        <v>13</v>
      </c>
      <c r="D1" s="4" t="s">
        <v>14</v>
      </c>
      <c r="E1" s="4" t="s">
        <v>15</v>
      </c>
      <c r="F1" s="4" t="s">
        <v>16</v>
      </c>
      <c r="G1" s="4" t="s">
        <v>17</v>
      </c>
      <c r="H1" s="4" t="s">
        <v>18</v>
      </c>
      <c r="I1" s="4" t="s">
        <v>19</v>
      </c>
      <c r="J1" s="4" t="s">
        <v>20</v>
      </c>
      <c r="K1" s="4" t="s">
        <v>21</v>
      </c>
      <c r="L1" s="4" t="s">
        <v>22</v>
      </c>
      <c r="M1" s="4" t="s">
        <v>23</v>
      </c>
      <c r="N1" s="4" t="s">
        <v>24</v>
      </c>
    </row>
    <row r="2" customFormat="false" ht="39.55" hidden="false" customHeight="false" outlineLevel="0" collapsed="false">
      <c r="A2" s="5" t="s">
        <v>25</v>
      </c>
      <c r="B2" s="5" t="s">
        <v>26</v>
      </c>
      <c r="C2" s="5" t="n">
        <v>3</v>
      </c>
      <c r="D2" s="5" t="n">
        <v>2</v>
      </c>
      <c r="E2" s="5" t="s">
        <v>27</v>
      </c>
      <c r="F2" s="5" t="s">
        <v>28</v>
      </c>
      <c r="G2" s="6" t="n">
        <v>3642</v>
      </c>
      <c r="H2" s="5" t="s">
        <v>29</v>
      </c>
      <c r="I2" s="5" t="s">
        <v>30</v>
      </c>
      <c r="J2" s="5" t="s">
        <v>31</v>
      </c>
      <c r="K2" s="5" t="s">
        <v>32</v>
      </c>
      <c r="L2" s="7" t="s">
        <v>33</v>
      </c>
      <c r="M2" s="5" t="s">
        <v>34</v>
      </c>
      <c r="N2" s="5" t="s">
        <v>35</v>
      </c>
    </row>
    <row r="3" customFormat="false" ht="39.55" hidden="false" customHeight="false" outlineLevel="0" collapsed="false">
      <c r="A3" s="5" t="s">
        <v>36</v>
      </c>
      <c r="B3" s="5" t="s">
        <v>37</v>
      </c>
      <c r="C3" s="5" t="n">
        <v>3</v>
      </c>
      <c r="D3" s="5" t="n">
        <v>3</v>
      </c>
      <c r="E3" s="5" t="s">
        <v>38</v>
      </c>
      <c r="F3" s="5" t="s">
        <v>39</v>
      </c>
      <c r="G3" s="6" t="n">
        <v>3300</v>
      </c>
      <c r="H3" s="5" t="s">
        <v>40</v>
      </c>
      <c r="I3" s="5" t="s">
        <v>41</v>
      </c>
      <c r="J3" s="5" t="s">
        <v>42</v>
      </c>
      <c r="K3" s="5" t="s">
        <v>43</v>
      </c>
      <c r="L3" s="7" t="s">
        <v>33</v>
      </c>
      <c r="M3" s="5" t="s">
        <v>44</v>
      </c>
      <c r="N3" s="5" t="s">
        <v>45</v>
      </c>
    </row>
    <row r="4" customFormat="false" ht="39.55" hidden="false" customHeight="false" outlineLevel="0" collapsed="false">
      <c r="A4" s="5" t="s">
        <v>46</v>
      </c>
      <c r="B4" s="5" t="s">
        <v>37</v>
      </c>
      <c r="C4" s="5" t="n">
        <v>3</v>
      </c>
      <c r="D4" s="5" t="n">
        <v>3</v>
      </c>
      <c r="E4" s="5" t="s">
        <v>47</v>
      </c>
      <c r="F4" s="5" t="s">
        <v>48</v>
      </c>
      <c r="G4" s="6" t="n">
        <v>3900</v>
      </c>
      <c r="H4" s="5" t="s">
        <v>49</v>
      </c>
      <c r="I4" s="5" t="s">
        <v>50</v>
      </c>
      <c r="J4" s="5" t="s">
        <v>42</v>
      </c>
      <c r="K4" s="5" t="s">
        <v>51</v>
      </c>
      <c r="L4" s="7" t="s">
        <v>33</v>
      </c>
      <c r="M4" s="5" t="s">
        <v>52</v>
      </c>
      <c r="N4" s="5" t="s">
        <v>53</v>
      </c>
    </row>
    <row r="5" customFormat="false" ht="26.85" hidden="false" customHeight="false" outlineLevel="0" collapsed="false">
      <c r="A5" s="5" t="s">
        <v>54</v>
      </c>
      <c r="B5" s="5" t="s">
        <v>55</v>
      </c>
      <c r="C5" s="5" t="n">
        <v>3</v>
      </c>
      <c r="D5" s="5" t="s">
        <v>56</v>
      </c>
      <c r="E5" s="5" t="s">
        <v>57</v>
      </c>
      <c r="F5" s="5" t="s">
        <v>58</v>
      </c>
      <c r="G5" s="5"/>
      <c r="H5" s="5" t="s">
        <v>59</v>
      </c>
      <c r="I5" s="5" t="s">
        <v>60</v>
      </c>
      <c r="J5" s="5" t="s">
        <v>61</v>
      </c>
      <c r="K5" s="5" t="s">
        <v>58</v>
      </c>
      <c r="L5" s="5" t="s">
        <v>62</v>
      </c>
      <c r="M5" s="5" t="s">
        <v>63</v>
      </c>
      <c r="N5" s="5" t="s">
        <v>64</v>
      </c>
    </row>
    <row r="6" customFormat="false" ht="26.85" hidden="false" customHeight="false" outlineLevel="0" collapsed="false">
      <c r="A6" s="5" t="s">
        <v>65</v>
      </c>
      <c r="B6" s="5" t="s">
        <v>66</v>
      </c>
      <c r="C6" s="5" t="n">
        <v>2</v>
      </c>
      <c r="D6" s="5" t="n">
        <v>2</v>
      </c>
      <c r="E6" s="5" t="s">
        <v>67</v>
      </c>
      <c r="F6" s="5" t="s">
        <v>68</v>
      </c>
      <c r="G6" s="6" t="n">
        <v>2240</v>
      </c>
      <c r="H6" s="5" t="s">
        <v>69</v>
      </c>
      <c r="I6" s="5" t="s">
        <v>70</v>
      </c>
      <c r="J6" s="5" t="s">
        <v>71</v>
      </c>
      <c r="K6" s="5" t="s">
        <v>32</v>
      </c>
      <c r="L6" s="7" t="s">
        <v>33</v>
      </c>
      <c r="M6" s="5" t="s">
        <v>72</v>
      </c>
      <c r="N6" s="5" t="s">
        <v>73</v>
      </c>
    </row>
    <row r="7" customFormat="false" ht="39.55" hidden="false" customHeight="false" outlineLevel="0" collapsed="false">
      <c r="A7" s="5" t="s">
        <v>74</v>
      </c>
      <c r="B7" s="5" t="s">
        <v>75</v>
      </c>
      <c r="C7" s="5" t="n">
        <v>3</v>
      </c>
      <c r="D7" s="5" t="n">
        <v>1</v>
      </c>
      <c r="E7" s="5" t="s">
        <v>76</v>
      </c>
      <c r="F7" s="5" t="s">
        <v>77</v>
      </c>
      <c r="G7" s="6" t="n">
        <v>2274</v>
      </c>
      <c r="H7" s="5" t="s">
        <v>78</v>
      </c>
      <c r="I7" s="5" t="s">
        <v>79</v>
      </c>
      <c r="J7" s="5" t="s">
        <v>80</v>
      </c>
      <c r="K7" s="5" t="s">
        <v>32</v>
      </c>
      <c r="L7" s="5" t="s">
        <v>81</v>
      </c>
      <c r="M7" s="5" t="s">
        <v>82</v>
      </c>
      <c r="N7" s="5" t="s">
        <v>83</v>
      </c>
    </row>
    <row r="8" customFormat="false" ht="26.85" hidden="false" customHeight="false" outlineLevel="0" collapsed="false">
      <c r="A8" s="5" t="s">
        <v>84</v>
      </c>
      <c r="B8" s="5" t="s">
        <v>85</v>
      </c>
      <c r="C8" s="5" t="n">
        <v>2</v>
      </c>
      <c r="D8" s="5" t="s">
        <v>86</v>
      </c>
      <c r="E8" s="5" t="s">
        <v>87</v>
      </c>
      <c r="F8" s="5" t="s">
        <v>88</v>
      </c>
      <c r="G8" s="5"/>
      <c r="H8" s="5" t="s">
        <v>89</v>
      </c>
      <c r="I8" s="5" t="s">
        <v>90</v>
      </c>
      <c r="J8" s="5" t="s">
        <v>71</v>
      </c>
      <c r="K8" s="5" t="s">
        <v>43</v>
      </c>
      <c r="L8" s="5" t="s">
        <v>91</v>
      </c>
      <c r="M8" s="5" t="s">
        <v>92</v>
      </c>
      <c r="N8" s="5" t="s">
        <v>93</v>
      </c>
    </row>
    <row r="9" customFormat="false" ht="39.55" hidden="false" customHeight="false" outlineLevel="0" collapsed="false">
      <c r="A9" s="5" t="s">
        <v>94</v>
      </c>
      <c r="B9" s="5" t="s">
        <v>95</v>
      </c>
      <c r="C9" s="5" t="n">
        <v>3</v>
      </c>
      <c r="D9" s="5" t="n">
        <v>6</v>
      </c>
      <c r="E9" s="5" t="s">
        <v>96</v>
      </c>
      <c r="F9" s="5" t="s">
        <v>58</v>
      </c>
      <c r="G9" s="5"/>
      <c r="H9" s="5" t="s">
        <v>97</v>
      </c>
      <c r="I9" s="5" t="s">
        <v>98</v>
      </c>
      <c r="J9" s="5" t="s">
        <v>71</v>
      </c>
      <c r="K9" s="5" t="s">
        <v>58</v>
      </c>
      <c r="L9" s="5" t="s">
        <v>91</v>
      </c>
      <c r="M9" s="5" t="s">
        <v>99</v>
      </c>
      <c r="N9" s="5" t="s">
        <v>100</v>
      </c>
    </row>
    <row r="10" customFormat="false" ht="26.85" hidden="false" customHeight="false" outlineLevel="0" collapsed="false">
      <c r="A10" s="5" t="s">
        <v>101</v>
      </c>
      <c r="B10" s="5" t="s">
        <v>102</v>
      </c>
      <c r="C10" s="5" t="n">
        <v>1</v>
      </c>
      <c r="D10" s="5" t="n">
        <v>1</v>
      </c>
      <c r="E10" s="5" t="s">
        <v>103</v>
      </c>
      <c r="F10" s="5" t="s">
        <v>104</v>
      </c>
      <c r="G10" s="5"/>
      <c r="H10" s="5" t="s">
        <v>105</v>
      </c>
      <c r="I10" s="5" t="s">
        <v>106</v>
      </c>
      <c r="J10" s="5" t="s">
        <v>107</v>
      </c>
      <c r="K10" s="5" t="s">
        <v>108</v>
      </c>
      <c r="L10" s="5" t="s">
        <v>81</v>
      </c>
      <c r="M10" s="5" t="s">
        <v>109</v>
      </c>
      <c r="N10" s="5" t="s">
        <v>110</v>
      </c>
    </row>
    <row r="11" customFormat="false" ht="39.55" hidden="false" customHeight="false" outlineLevel="0" collapsed="false">
      <c r="A11" s="5" t="s">
        <v>111</v>
      </c>
      <c r="B11" s="5" t="s">
        <v>112</v>
      </c>
      <c r="C11" s="5" t="n">
        <v>2</v>
      </c>
      <c r="D11" s="5" t="n">
        <v>1</v>
      </c>
      <c r="E11" s="5" t="s">
        <v>113</v>
      </c>
      <c r="F11" s="5" t="s">
        <v>114</v>
      </c>
      <c r="G11" s="5"/>
      <c r="H11" s="5" t="s">
        <v>115</v>
      </c>
      <c r="I11" s="5" t="s">
        <v>116</v>
      </c>
      <c r="J11" s="5" t="s">
        <v>117</v>
      </c>
      <c r="K11" s="5" t="s">
        <v>108</v>
      </c>
      <c r="L11" s="5" t="s">
        <v>81</v>
      </c>
      <c r="M11" s="5" t="s">
        <v>118</v>
      </c>
      <c r="N11" s="5" t="s">
        <v>119</v>
      </c>
    </row>
    <row r="12" customFormat="false" ht="26.85" hidden="false" customHeight="false" outlineLevel="0" collapsed="false">
      <c r="A12" s="5" t="s">
        <v>120</v>
      </c>
      <c r="B12" s="5" t="s">
        <v>121</v>
      </c>
      <c r="C12" s="5" t="n">
        <v>1</v>
      </c>
      <c r="D12" s="5" t="n">
        <v>1</v>
      </c>
      <c r="E12" s="5" t="s">
        <v>122</v>
      </c>
      <c r="F12" s="5" t="s">
        <v>114</v>
      </c>
      <c r="G12" s="5"/>
      <c r="H12" s="5" t="s">
        <v>123</v>
      </c>
      <c r="I12" s="5" t="s">
        <v>124</v>
      </c>
      <c r="J12" s="5" t="s">
        <v>107</v>
      </c>
      <c r="K12" s="5" t="s">
        <v>108</v>
      </c>
      <c r="L12" s="5" t="s">
        <v>125</v>
      </c>
      <c r="M12" s="5" t="s">
        <v>126</v>
      </c>
      <c r="N12" s="5" t="s">
        <v>127</v>
      </c>
    </row>
    <row r="13" customFormat="false" ht="26.85" hidden="false" customHeight="false" outlineLevel="0" collapsed="false">
      <c r="A13" s="5" t="s">
        <v>128</v>
      </c>
      <c r="B13" s="5" t="s">
        <v>121</v>
      </c>
      <c r="C13" s="5" t="n">
        <v>1</v>
      </c>
      <c r="D13" s="5" t="n">
        <v>1</v>
      </c>
      <c r="E13" s="5" t="s">
        <v>129</v>
      </c>
      <c r="F13" s="5" t="s">
        <v>58</v>
      </c>
      <c r="G13" s="5"/>
      <c r="H13" s="5" t="s">
        <v>58</v>
      </c>
      <c r="I13" s="5" t="s">
        <v>130</v>
      </c>
      <c r="J13" s="5" t="s">
        <v>71</v>
      </c>
      <c r="K13" s="5" t="s">
        <v>58</v>
      </c>
      <c r="L13" s="5" t="s">
        <v>125</v>
      </c>
      <c r="M13" s="5"/>
      <c r="N13" s="5" t="s">
        <v>131</v>
      </c>
    </row>
    <row r="14" customFormat="false" ht="26.85" hidden="false" customHeight="false" outlineLevel="0" collapsed="false">
      <c r="A14" s="5" t="s">
        <v>132</v>
      </c>
      <c r="B14" s="5" t="s">
        <v>133</v>
      </c>
      <c r="C14" s="5" t="n">
        <v>1</v>
      </c>
      <c r="D14" s="5" t="n">
        <v>1</v>
      </c>
      <c r="E14" s="5" t="s">
        <v>134</v>
      </c>
      <c r="F14" s="5" t="s">
        <v>135</v>
      </c>
      <c r="G14" s="5"/>
      <c r="H14" s="5" t="s">
        <v>130</v>
      </c>
      <c r="I14" s="5" t="s">
        <v>136</v>
      </c>
      <c r="J14" s="5" t="s">
        <v>71</v>
      </c>
      <c r="K14" s="5" t="s">
        <v>137</v>
      </c>
      <c r="L14" s="5" t="s">
        <v>138</v>
      </c>
      <c r="M14" s="5" t="s">
        <v>139</v>
      </c>
      <c r="N14" s="5" t="s">
        <v>140</v>
      </c>
    </row>
    <row r="15" customFormat="false" ht="26.85" hidden="false" customHeight="false" outlineLevel="0" collapsed="false">
      <c r="A15" s="5" t="s">
        <v>141</v>
      </c>
      <c r="B15" s="5" t="s">
        <v>142</v>
      </c>
      <c r="C15" s="5"/>
      <c r="D15" s="5"/>
      <c r="E15" s="5"/>
      <c r="F15" s="5"/>
      <c r="G15" s="5"/>
      <c r="H15" s="5"/>
      <c r="I15" s="5" t="s">
        <v>143</v>
      </c>
      <c r="J15" s="5" t="s">
        <v>144</v>
      </c>
      <c r="K15" s="5"/>
      <c r="L15" s="5" t="s">
        <v>144</v>
      </c>
      <c r="M15" s="5" t="s">
        <v>145</v>
      </c>
      <c r="N15" s="5" t="s">
        <v>146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7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0"/>
    <col collapsed="false" customWidth="true" hidden="false" outlineLevel="0" max="6" min="2" style="0" width="24"/>
  </cols>
  <sheetData>
    <row r="1" customFormat="false" ht="17.35" hidden="false" customHeight="false" outlineLevel="0" collapsed="false">
      <c r="A1" s="8" t="s">
        <v>147</v>
      </c>
      <c r="B1" s="9"/>
      <c r="C1" s="9"/>
      <c r="D1" s="9"/>
      <c r="E1" s="9"/>
      <c r="F1" s="9"/>
    </row>
    <row r="2" customFormat="false" ht="15" hidden="false" customHeight="false" outlineLevel="0" collapsed="false">
      <c r="A2" s="10" t="s">
        <v>148</v>
      </c>
      <c r="B2" s="9"/>
      <c r="C2" s="9"/>
      <c r="D2" s="9"/>
      <c r="E2" s="9"/>
      <c r="F2" s="9"/>
    </row>
    <row r="3" customFormat="false" ht="15" hidden="false" customHeight="false" outlineLevel="0" collapsed="false">
      <c r="A3" s="9"/>
      <c r="B3" s="9"/>
      <c r="C3" s="9"/>
      <c r="D3" s="9"/>
      <c r="E3" s="9"/>
      <c r="F3" s="9"/>
    </row>
    <row r="4" customFormat="false" ht="39.55" hidden="false" customHeight="false" outlineLevel="0" collapsed="false">
      <c r="A4" s="4" t="s">
        <v>149</v>
      </c>
      <c r="B4" s="4" t="s">
        <v>150</v>
      </c>
      <c r="C4" s="4" t="s">
        <v>151</v>
      </c>
      <c r="D4" s="4" t="s">
        <v>152</v>
      </c>
      <c r="E4" s="4" t="s">
        <v>153</v>
      </c>
      <c r="F4" s="4" t="s">
        <v>154</v>
      </c>
    </row>
    <row r="5" customFormat="false" ht="15" hidden="false" customHeight="false" outlineLevel="0" collapsed="false">
      <c r="A5" s="11" t="s">
        <v>155</v>
      </c>
      <c r="B5" s="12" t="n">
        <v>2</v>
      </c>
      <c r="C5" s="12" t="n">
        <v>2</v>
      </c>
      <c r="D5" s="12" t="n">
        <v>3</v>
      </c>
      <c r="E5" s="12" t="n">
        <v>3</v>
      </c>
      <c r="F5" s="12" t="n">
        <v>2</v>
      </c>
    </row>
    <row r="6" customFormat="false" ht="15" hidden="false" customHeight="false" outlineLevel="0" collapsed="false">
      <c r="A6" s="11" t="s">
        <v>156</v>
      </c>
      <c r="B6" s="11" t="s">
        <v>157</v>
      </c>
      <c r="C6" s="11" t="s">
        <v>157</v>
      </c>
      <c r="D6" s="11" t="s">
        <v>158</v>
      </c>
      <c r="E6" s="11" t="s">
        <v>157</v>
      </c>
      <c r="F6" s="11" t="s">
        <v>158</v>
      </c>
    </row>
    <row r="7" customFormat="false" ht="15" hidden="false" customHeight="false" outlineLevel="0" collapsed="false">
      <c r="A7" s="11" t="s">
        <v>159</v>
      </c>
      <c r="B7" s="11" t="s">
        <v>158</v>
      </c>
      <c r="C7" s="11" t="s">
        <v>158</v>
      </c>
      <c r="D7" s="11" t="s">
        <v>158</v>
      </c>
      <c r="E7" s="11" t="s">
        <v>157</v>
      </c>
      <c r="F7" s="11" t="s">
        <v>158</v>
      </c>
    </row>
    <row r="8" customFormat="false" ht="15" hidden="false" customHeight="false" outlineLevel="0" collapsed="false">
      <c r="A8" s="11" t="s">
        <v>160</v>
      </c>
      <c r="B8" s="13" t="n">
        <v>1150</v>
      </c>
      <c r="C8" s="13" t="n">
        <v>1729</v>
      </c>
      <c r="D8" s="13" t="n">
        <v>1100</v>
      </c>
      <c r="E8" s="13" t="n">
        <v>1300</v>
      </c>
      <c r="F8" s="13" t="n">
        <v>1120</v>
      </c>
    </row>
    <row r="9" customFormat="false" ht="15" hidden="false" customHeight="false" outlineLevel="0" collapsed="false">
      <c r="A9" s="11" t="s">
        <v>161</v>
      </c>
      <c r="B9" s="13" t="n">
        <v>880</v>
      </c>
      <c r="C9" s="13" t="n">
        <v>1024</v>
      </c>
      <c r="D9" s="13" t="n">
        <v>1100</v>
      </c>
      <c r="E9" s="13" t="n">
        <v>1300</v>
      </c>
      <c r="F9" s="13" t="n">
        <v>1120</v>
      </c>
    </row>
    <row r="10" customFormat="false" ht="15" hidden="false" customHeight="false" outlineLevel="0" collapsed="false">
      <c r="A10" s="11" t="s">
        <v>162</v>
      </c>
      <c r="B10" s="14" t="n">
        <v>1.12</v>
      </c>
      <c r="C10" s="14" t="n">
        <v>1.32292045041773</v>
      </c>
      <c r="D10" s="14" t="n">
        <v>1</v>
      </c>
      <c r="E10" s="14" t="n">
        <v>1</v>
      </c>
      <c r="F10" s="14" t="n">
        <v>1</v>
      </c>
    </row>
    <row r="11" customFormat="false" ht="15" hidden="false" customHeight="false" outlineLevel="0" collapsed="false">
      <c r="A11" s="11" t="s">
        <v>163</v>
      </c>
      <c r="B11" s="11" t="s">
        <v>164</v>
      </c>
      <c r="C11" s="11" t="s">
        <v>164</v>
      </c>
      <c r="D11" s="11" t="s">
        <v>165</v>
      </c>
      <c r="E11" s="11" t="s">
        <v>165</v>
      </c>
      <c r="F11" s="11" t="s">
        <v>164</v>
      </c>
    </row>
    <row r="12" customFormat="false" ht="120" hidden="false" customHeight="true" outlineLevel="0" collapsed="false">
      <c r="A12" s="11" t="s">
        <v>23</v>
      </c>
      <c r="B12" s="15" t="s">
        <v>166</v>
      </c>
      <c r="C12" s="15" t="s">
        <v>167</v>
      </c>
      <c r="D12" s="15" t="s">
        <v>168</v>
      </c>
      <c r="E12" s="15" t="s">
        <v>169</v>
      </c>
      <c r="F12" s="15" t="s">
        <v>170</v>
      </c>
    </row>
    <row r="13" customFormat="false" ht="15" hidden="false" customHeight="false" outlineLevel="0" collapsed="false">
      <c r="A13" s="9"/>
      <c r="B13" s="9"/>
      <c r="C13" s="9"/>
      <c r="D13" s="9"/>
      <c r="E13" s="9"/>
      <c r="F13" s="9"/>
    </row>
    <row r="14" customFormat="false" ht="15" hidden="false" customHeight="false" outlineLevel="0" collapsed="false">
      <c r="A14" s="16" t="s">
        <v>171</v>
      </c>
      <c r="B14" s="9"/>
      <c r="C14" s="9"/>
      <c r="D14" s="9"/>
      <c r="E14" s="9"/>
      <c r="F14" s="9"/>
    </row>
    <row r="15" customFormat="false" ht="15" hidden="false" customHeight="false" outlineLevel="0" collapsed="false">
      <c r="A15" s="11" t="s">
        <v>172</v>
      </c>
      <c r="B15" s="17" t="n">
        <v>181.316730168008</v>
      </c>
      <c r="C15" s="10" t="s">
        <v>173</v>
      </c>
      <c r="D15" s="9"/>
      <c r="E15" s="9"/>
      <c r="F15" s="9"/>
    </row>
    <row r="16" customFormat="false" ht="15" hidden="false" customHeight="false" outlineLevel="0" collapsed="false">
      <c r="A16" s="11" t="s">
        <v>174</v>
      </c>
      <c r="B16" s="17" t="n">
        <v>79.5315276601321</v>
      </c>
      <c r="C16" s="10" t="s">
        <v>175</v>
      </c>
      <c r="D16" s="9"/>
      <c r="E16" s="9"/>
      <c r="F16" s="9"/>
    </row>
    <row r="17" customFormat="false" ht="15" hidden="false" customHeight="false" outlineLevel="0" collapsed="false">
      <c r="A17" s="11" t="s">
        <v>176</v>
      </c>
      <c r="B17" s="18" t="n">
        <v>18553.339831145</v>
      </c>
      <c r="C17" s="10" t="s">
        <v>177</v>
      </c>
      <c r="D17" s="9"/>
      <c r="E17" s="9"/>
      <c r="F17" s="9"/>
    </row>
    <row r="18" customFormat="false" ht="15" hidden="false" customHeight="false" outlineLevel="0" collapsed="false">
      <c r="A18" s="11" t="s">
        <v>178</v>
      </c>
      <c r="B18" s="18" t="n">
        <v>60000</v>
      </c>
      <c r="C18" s="10" t="s">
        <v>179</v>
      </c>
      <c r="D18" s="9"/>
      <c r="E18" s="9"/>
      <c r="F18" s="9"/>
    </row>
    <row r="19" customFormat="false" ht="15" hidden="false" customHeight="false" outlineLevel="0" collapsed="false">
      <c r="A19" s="11" t="s">
        <v>180</v>
      </c>
      <c r="B19" s="17" t="n">
        <v>149.54257565095</v>
      </c>
      <c r="C19" s="10" t="s">
        <v>181</v>
      </c>
      <c r="D19" s="9"/>
      <c r="E19" s="9"/>
      <c r="F19" s="9"/>
    </row>
    <row r="20" customFormat="false" ht="15" hidden="false" customHeight="false" outlineLevel="0" collapsed="false">
      <c r="A20" s="9"/>
      <c r="B20" s="9"/>
      <c r="C20" s="9"/>
      <c r="D20" s="9"/>
      <c r="E20" s="9"/>
      <c r="F20" s="9"/>
    </row>
    <row r="21" customFormat="false" ht="39.55" hidden="false" customHeight="false" outlineLevel="0" collapsed="false">
      <c r="A21" s="4" t="s">
        <v>182</v>
      </c>
      <c r="B21" s="4" t="s">
        <v>150</v>
      </c>
      <c r="C21" s="4" t="s">
        <v>151</v>
      </c>
      <c r="D21" s="4" t="s">
        <v>152</v>
      </c>
      <c r="E21" s="4" t="s">
        <v>153</v>
      </c>
      <c r="F21" s="4" t="s">
        <v>154</v>
      </c>
    </row>
    <row r="22" customFormat="false" ht="15" hidden="false" customHeight="false" outlineLevel="0" collapsed="false">
      <c r="A22" s="11" t="s">
        <v>183</v>
      </c>
      <c r="B22" s="19" t="n">
        <f aca="false">B8+(B5-1)*B9</f>
        <v>2030</v>
      </c>
      <c r="C22" s="19" t="n">
        <f aca="false">C8+(C5-1)*C9</f>
        <v>2753</v>
      </c>
      <c r="D22" s="19" t="n">
        <f aca="false">D8+(D5-1)*D9</f>
        <v>3300</v>
      </c>
      <c r="E22" s="19" t="n">
        <f aca="false">E8+(E5-1)*E9</f>
        <v>3900</v>
      </c>
      <c r="F22" s="19" t="n">
        <f aca="false">F8+(F5-1)*F9</f>
        <v>2240</v>
      </c>
    </row>
    <row r="23" customFormat="false" ht="15" hidden="false" customHeight="false" outlineLevel="0" collapsed="false">
      <c r="A23" s="11" t="s">
        <v>184</v>
      </c>
      <c r="B23" s="19" t="n">
        <f aca="false">B22*B10</f>
        <v>2273.6</v>
      </c>
      <c r="C23" s="19" t="n">
        <f aca="false">C22*C10</f>
        <v>3642</v>
      </c>
      <c r="D23" s="19" t="n">
        <f aca="false">D22*D10</f>
        <v>3300</v>
      </c>
      <c r="E23" s="19" t="n">
        <f aca="false">E22*E10</f>
        <v>3900</v>
      </c>
      <c r="F23" s="19" t="n">
        <f aca="false">F22*F10</f>
        <v>2240</v>
      </c>
    </row>
    <row r="24" customFormat="false" ht="15" hidden="false" customHeight="false" outlineLevel="0" collapsed="false">
      <c r="A24" s="11" t="s">
        <v>185</v>
      </c>
      <c r="B24" s="20" t="n">
        <f aca="false">($B$15+$B$16)*B23+$B$17</f>
        <v>611617.938829204</v>
      </c>
      <c r="C24" s="20" t="n">
        <f aca="false">($B$15+$B$16)*C23+$B$17</f>
        <v>968562.694841231</v>
      </c>
      <c r="D24" s="20" t="n">
        <f aca="false">($B$15+$B$16)*D23+$B$17</f>
        <v>879352.590664007</v>
      </c>
      <c r="E24" s="20" t="n">
        <f aca="false">($B$15+$B$16)*E23+$B$17</f>
        <v>1035861.54536089</v>
      </c>
      <c r="F24" s="20" t="n">
        <f aca="false">($B$15+$B$16)*F23+$B$17</f>
        <v>602853.437366179</v>
      </c>
    </row>
    <row r="25" customFormat="false" ht="15" hidden="false" customHeight="false" outlineLevel="0" collapsed="false">
      <c r="A25" s="11" t="s">
        <v>186</v>
      </c>
      <c r="B25" s="20" t="n">
        <f aca="false">B24+$B$18</f>
        <v>671617.938829204</v>
      </c>
      <c r="C25" s="20" t="n">
        <f aca="false">C24+$B$18</f>
        <v>1028562.69484123</v>
      </c>
      <c r="D25" s="20" t="n">
        <f aca="false">D24+$B$18</f>
        <v>939352.590664007</v>
      </c>
      <c r="E25" s="20" t="n">
        <f aca="false">E24+$B$18</f>
        <v>1095861.54536089</v>
      </c>
      <c r="F25" s="20" t="n">
        <f aca="false">F24+$B$18</f>
        <v>662853.437366179</v>
      </c>
    </row>
    <row r="26" customFormat="false" ht="15" hidden="false" customHeight="false" outlineLevel="0" collapsed="false">
      <c r="A26" s="11" t="s">
        <v>187</v>
      </c>
      <c r="B26" s="20" t="n">
        <f aca="false">B25/B5</f>
        <v>335808.969414602</v>
      </c>
      <c r="C26" s="20" t="n">
        <f aca="false">C25/C5</f>
        <v>514281.347420615</v>
      </c>
      <c r="D26" s="20" t="n">
        <f aca="false">D25/D5</f>
        <v>313117.530221336</v>
      </c>
      <c r="E26" s="20" t="n">
        <f aca="false">E25/E5</f>
        <v>365287.181786964</v>
      </c>
      <c r="F26" s="20" t="n">
        <f aca="false">F25/F5</f>
        <v>331426.718683089</v>
      </c>
    </row>
    <row r="27" customFormat="false" ht="15" hidden="false" customHeight="false" outlineLevel="0" collapsed="false">
      <c r="A27" s="11" t="s">
        <v>188</v>
      </c>
      <c r="B27" s="20" t="n">
        <f aca="false">$B$19*B23</f>
        <v>340000</v>
      </c>
      <c r="C27" s="20" t="n">
        <f aca="false">$B$19*C23</f>
        <v>544634.06052076</v>
      </c>
      <c r="D27" s="20" t="n">
        <f aca="false">$B$19*D23</f>
        <v>493490.499648135</v>
      </c>
      <c r="E27" s="20" t="n">
        <f aca="false">$B$19*E23</f>
        <v>583216.045038705</v>
      </c>
      <c r="F27" s="20" t="n">
        <f aca="false">$B$19*F23</f>
        <v>334975.369458128</v>
      </c>
    </row>
    <row r="28" customFormat="false" ht="15" hidden="false" customHeight="false" outlineLevel="0" collapsed="false">
      <c r="A28" s="9"/>
      <c r="B28" s="9"/>
      <c r="C28" s="9"/>
      <c r="D28" s="9"/>
      <c r="E28" s="9"/>
      <c r="F28" s="9"/>
    </row>
    <row r="29" customFormat="false" ht="39.55" hidden="false" customHeight="false" outlineLevel="0" collapsed="false">
      <c r="A29" s="4" t="s">
        <v>189</v>
      </c>
      <c r="B29" s="4" t="s">
        <v>150</v>
      </c>
      <c r="C29" s="4" t="s">
        <v>151</v>
      </c>
      <c r="D29" s="4" t="s">
        <v>152</v>
      </c>
      <c r="E29" s="4" t="s">
        <v>153</v>
      </c>
      <c r="F29" s="4" t="s">
        <v>154</v>
      </c>
    </row>
    <row r="30" customFormat="false" ht="15" hidden="false" customHeight="false" outlineLevel="0" collapsed="false">
      <c r="A30" s="11" t="s">
        <v>190</v>
      </c>
      <c r="B30" s="20" t="n">
        <v>926481.041432955</v>
      </c>
      <c r="C30" s="20" t="n">
        <v>1368281.97683776</v>
      </c>
      <c r="D30" s="20" t="n">
        <v>1257864.02893624</v>
      </c>
      <c r="E30" s="20" t="n">
        <v>1451579.72700908</v>
      </c>
      <c r="F30" s="20" t="n">
        <v>915632.962340876</v>
      </c>
    </row>
    <row r="31" customFormat="false" ht="15" hidden="false" customHeight="false" outlineLevel="0" collapsed="false">
      <c r="A31" s="11" t="s">
        <v>191</v>
      </c>
      <c r="B31" s="20" t="n">
        <v>463240.520716478</v>
      </c>
      <c r="C31" s="20" t="n">
        <v>684140.988418879</v>
      </c>
      <c r="D31" s="20" t="n">
        <v>419288.009645412</v>
      </c>
      <c r="E31" s="20" t="n">
        <v>483859.909003027</v>
      </c>
      <c r="F31" s="20" t="n">
        <v>457816.481170438</v>
      </c>
    </row>
    <row r="32" customFormat="false" ht="15" hidden="false" customHeight="false" outlineLevel="0" collapsed="false">
      <c r="A32" s="11" t="s">
        <v>192</v>
      </c>
      <c r="B32" s="20" t="n">
        <v>407.495180081349</v>
      </c>
      <c r="C32" s="20" t="n">
        <v>375.695216045513</v>
      </c>
      <c r="D32" s="20" t="n">
        <v>381.170917859465</v>
      </c>
      <c r="E32" s="20" t="n">
        <v>372.199930002329</v>
      </c>
      <c r="F32" s="20" t="n">
        <v>408.764715330748</v>
      </c>
    </row>
    <row r="33" customFormat="false" ht="15" hidden="false" customHeight="false" outlineLevel="0" collapsed="false">
      <c r="A33" s="11" t="s">
        <v>193</v>
      </c>
      <c r="B33" s="20" t="n">
        <v>340000</v>
      </c>
      <c r="C33" s="20" t="n">
        <v>340000</v>
      </c>
      <c r="D33" s="20" t="n">
        <v>340000</v>
      </c>
      <c r="E33" s="20" t="n">
        <v>340000</v>
      </c>
      <c r="F33" s="20" t="n">
        <v>340000</v>
      </c>
    </row>
    <row r="34" customFormat="false" ht="15" hidden="false" customHeight="false" outlineLevel="0" collapsed="false">
      <c r="A34" s="11" t="s">
        <v>194</v>
      </c>
      <c r="B34" s="20" t="n">
        <v>1492.2</v>
      </c>
      <c r="C34" s="20" t="n">
        <v>1492.2</v>
      </c>
      <c r="D34" s="20" t="n">
        <v>1492.2</v>
      </c>
      <c r="E34" s="20" t="n">
        <v>1703.52</v>
      </c>
      <c r="F34" s="20" t="n">
        <v>1492.2</v>
      </c>
    </row>
    <row r="35" customFormat="false" ht="15" hidden="false" customHeight="false" outlineLevel="0" collapsed="false">
      <c r="A35" s="11" t="s">
        <v>195</v>
      </c>
      <c r="B35" s="20" t="n">
        <v>586481.041432955</v>
      </c>
      <c r="C35" s="20" t="n">
        <v>1028281.97683776</v>
      </c>
      <c r="D35" s="20" t="n">
        <v>917864.028936236</v>
      </c>
      <c r="E35" s="20" t="n">
        <v>1111579.72700908</v>
      </c>
      <c r="F35" s="20" t="n">
        <v>575632.962340876</v>
      </c>
    </row>
    <row r="36" customFormat="false" ht="15" hidden="false" customHeight="false" outlineLevel="0" collapsed="false">
      <c r="A36" s="11" t="s">
        <v>196</v>
      </c>
      <c r="B36" s="20" t="n">
        <v>56481.0414329551</v>
      </c>
      <c r="C36" s="20" t="n">
        <v>498281.976837757</v>
      </c>
      <c r="D36" s="20" t="n">
        <v>387864.028936236</v>
      </c>
      <c r="E36" s="20" t="n">
        <v>581579.727009081</v>
      </c>
      <c r="F36" s="20" t="n">
        <v>45632.9623408755</v>
      </c>
    </row>
    <row r="37" customFormat="false" ht="15" hidden="false" customHeight="false" outlineLevel="0" collapsed="false">
      <c r="A37" s="11" t="s">
        <v>197</v>
      </c>
      <c r="B37" s="20" t="n">
        <v>607150.290154212</v>
      </c>
      <c r="C37" s="20" t="n">
        <v>1048951.22555901</v>
      </c>
      <c r="D37" s="20" t="n">
        <v>917864.028936236</v>
      </c>
      <c r="E37" s="20" t="n">
        <v>1111579.72700908</v>
      </c>
      <c r="F37" s="20" t="n">
        <v>596302.211062133</v>
      </c>
    </row>
    <row r="38" customFormat="false" ht="15" hidden="false" customHeight="false" outlineLevel="0" collapsed="false">
      <c r="A38" s="11" t="s">
        <v>198</v>
      </c>
      <c r="B38" s="20" t="n">
        <v>2505.24733333333</v>
      </c>
      <c r="C38" s="20" t="n">
        <v>2505.24733333333</v>
      </c>
      <c r="D38" s="20" t="n">
        <v>1492.38101841375</v>
      </c>
      <c r="E38" s="20" t="n">
        <v>1099.32581841375</v>
      </c>
      <c r="F38" s="20" t="n">
        <v>2505.24733333333</v>
      </c>
    </row>
    <row r="39" customFormat="false" ht="15" hidden="false" customHeight="false" outlineLevel="0" collapsed="false">
      <c r="A39" s="11" t="s">
        <v>199</v>
      </c>
      <c r="B39" s="21" t="n">
        <v>0.290856888544892</v>
      </c>
      <c r="C39" s="21" t="n">
        <v>0.290856888544892</v>
      </c>
      <c r="D39" s="21" t="n">
        <v>0.173264050125436</v>
      </c>
      <c r="E39" s="21" t="n">
        <v>0.127630706472185</v>
      </c>
      <c r="F39" s="21" t="n">
        <v>0.290856888544892</v>
      </c>
    </row>
    <row r="40" customFormat="false" ht="15" hidden="false" customHeight="false" outlineLevel="0" collapsed="false">
      <c r="A40" s="22" t="s">
        <v>200</v>
      </c>
      <c r="B40" s="23" t="n">
        <f aca="false">B37/B$5</f>
        <v>303575.145077106</v>
      </c>
      <c r="C40" s="23" t="n">
        <f aca="false">C37/C$5</f>
        <v>524475.612779507</v>
      </c>
      <c r="D40" s="23" t="n">
        <f aca="false">D37/D$5</f>
        <v>305954.676312079</v>
      </c>
      <c r="E40" s="23" t="n">
        <f aca="false">E37/E$5</f>
        <v>370526.575669694</v>
      </c>
      <c r="F40" s="23" t="n">
        <f aca="false">F37/F$5</f>
        <v>298151.105531066</v>
      </c>
    </row>
    <row r="41" customFormat="false" ht="15" hidden="false" customHeight="false" outlineLevel="0" collapsed="false">
      <c r="A41" s="22" t="s">
        <v>201</v>
      </c>
      <c r="B41" s="23" t="n">
        <f aca="false">MAX(0,B30-B$27)</f>
        <v>586481.041432955</v>
      </c>
      <c r="C41" s="23" t="n">
        <f aca="false">MAX(0,C30-C$27)</f>
        <v>823647.916316997</v>
      </c>
      <c r="D41" s="23" t="n">
        <f aca="false">MAX(0,D30-D$27)</f>
        <v>764373.5292881</v>
      </c>
      <c r="E41" s="23" t="n">
        <f aca="false">MAX(0,E30-E$27)</f>
        <v>868363.681970376</v>
      </c>
      <c r="F41" s="23" t="n">
        <f aca="false">MAX(0,F30-F$27)</f>
        <v>580657.592882748</v>
      </c>
    </row>
    <row r="42" customFormat="false" ht="15" hidden="false" customHeight="false" outlineLevel="0" collapsed="false">
      <c r="A42" s="9"/>
      <c r="B42" s="9"/>
      <c r="C42" s="9"/>
      <c r="D42" s="9"/>
      <c r="E42" s="9"/>
      <c r="F42" s="9"/>
    </row>
    <row r="43" customFormat="false" ht="39.55" hidden="false" customHeight="false" outlineLevel="0" collapsed="false">
      <c r="A43" s="4" t="s">
        <v>202</v>
      </c>
      <c r="B43" s="4" t="s">
        <v>150</v>
      </c>
      <c r="C43" s="4" t="s">
        <v>151</v>
      </c>
      <c r="D43" s="4" t="s">
        <v>152</v>
      </c>
      <c r="E43" s="4" t="s">
        <v>153</v>
      </c>
      <c r="F43" s="4" t="s">
        <v>154</v>
      </c>
    </row>
    <row r="44" customFormat="false" ht="15" hidden="false" customHeight="false" outlineLevel="0" collapsed="false">
      <c r="A44" s="11" t="s">
        <v>190</v>
      </c>
      <c r="B44" s="20" t="n">
        <v>926481.041432955</v>
      </c>
      <c r="C44" s="20" t="n">
        <v>1368281.97683776</v>
      </c>
      <c r="D44" s="20" t="n">
        <v>1257864.02893624</v>
      </c>
      <c r="E44" s="20" t="n">
        <v>1451579.72700908</v>
      </c>
      <c r="F44" s="20" t="n">
        <v>915632.962340876</v>
      </c>
    </row>
    <row r="45" customFormat="false" ht="15" hidden="false" customHeight="false" outlineLevel="0" collapsed="false">
      <c r="A45" s="11" t="s">
        <v>191</v>
      </c>
      <c r="B45" s="20" t="n">
        <v>463240.520716478</v>
      </c>
      <c r="C45" s="20" t="n">
        <v>684140.988418879</v>
      </c>
      <c r="D45" s="20" t="n">
        <v>419288.009645412</v>
      </c>
      <c r="E45" s="20" t="n">
        <v>483859.909003027</v>
      </c>
      <c r="F45" s="20" t="n">
        <v>457816.481170438</v>
      </c>
    </row>
    <row r="46" customFormat="false" ht="15" hidden="false" customHeight="false" outlineLevel="0" collapsed="false">
      <c r="A46" s="11" t="s">
        <v>192</v>
      </c>
      <c r="B46" s="20" t="n">
        <v>407.495180081349</v>
      </c>
      <c r="C46" s="20" t="n">
        <v>375.695216045513</v>
      </c>
      <c r="D46" s="20" t="n">
        <v>381.170917859465</v>
      </c>
      <c r="E46" s="20" t="n">
        <v>372.199930002329</v>
      </c>
      <c r="F46" s="20" t="n">
        <v>408.764715330748</v>
      </c>
    </row>
    <row r="47" customFormat="false" ht="15" hidden="false" customHeight="false" outlineLevel="0" collapsed="false">
      <c r="A47" s="11" t="s">
        <v>193</v>
      </c>
      <c r="B47" s="20" t="n">
        <v>340000</v>
      </c>
      <c r="C47" s="20" t="n">
        <v>340000</v>
      </c>
      <c r="D47" s="20" t="n">
        <v>340000</v>
      </c>
      <c r="E47" s="20" t="n">
        <v>340000</v>
      </c>
      <c r="F47" s="20" t="n">
        <v>340000</v>
      </c>
    </row>
    <row r="48" customFormat="false" ht="15" hidden="false" customHeight="false" outlineLevel="0" collapsed="false">
      <c r="A48" s="11" t="s">
        <v>194</v>
      </c>
      <c r="B48" s="20" t="n">
        <v>1428.75</v>
      </c>
      <c r="C48" s="20" t="n">
        <v>1428.75</v>
      </c>
      <c r="D48" s="20" t="n">
        <v>1428.75</v>
      </c>
      <c r="E48" s="20" t="n">
        <v>1630.2</v>
      </c>
      <c r="F48" s="20" t="n">
        <v>1428.75</v>
      </c>
    </row>
    <row r="49" customFormat="false" ht="15" hidden="false" customHeight="false" outlineLevel="0" collapsed="false">
      <c r="A49" s="11" t="s">
        <v>195</v>
      </c>
      <c r="B49" s="20" t="n">
        <v>586481.041432955</v>
      </c>
      <c r="C49" s="20" t="n">
        <v>1028281.97683776</v>
      </c>
      <c r="D49" s="20" t="n">
        <v>917864.028936236</v>
      </c>
      <c r="E49" s="20" t="n">
        <v>1111579.72700908</v>
      </c>
      <c r="F49" s="20" t="n">
        <v>575632.962340876</v>
      </c>
    </row>
    <row r="50" customFormat="false" ht="15" hidden="false" customHeight="false" outlineLevel="0" collapsed="false">
      <c r="A50" s="11" t="s">
        <v>196</v>
      </c>
      <c r="B50" s="20" t="n">
        <v>56481.0414329551</v>
      </c>
      <c r="C50" s="20" t="n">
        <v>498281.976837757</v>
      </c>
      <c r="D50" s="20" t="n">
        <v>387864.028936236</v>
      </c>
      <c r="E50" s="20" t="n">
        <v>581579.727009081</v>
      </c>
      <c r="F50" s="20" t="n">
        <v>45632.9623408755</v>
      </c>
    </row>
    <row r="51" customFormat="false" ht="15" hidden="false" customHeight="false" outlineLevel="0" collapsed="false">
      <c r="A51" s="11" t="s">
        <v>197</v>
      </c>
      <c r="B51" s="20" t="n">
        <v>651057.463369519</v>
      </c>
      <c r="C51" s="20" t="n">
        <v>1092858.39877432</v>
      </c>
      <c r="D51" s="20" t="n">
        <v>959644.556278348</v>
      </c>
      <c r="E51" s="20" t="n">
        <v>1134883.54166297</v>
      </c>
      <c r="F51" s="20" t="n">
        <v>640209.38427744</v>
      </c>
    </row>
    <row r="52" customFormat="false" ht="15" hidden="false" customHeight="false" outlineLevel="0" collapsed="false">
      <c r="A52" s="11" t="s">
        <v>198</v>
      </c>
      <c r="B52" s="20" t="n">
        <v>2419.8875</v>
      </c>
      <c r="C52" s="20" t="n">
        <v>2419.8875</v>
      </c>
      <c r="D52" s="20" t="n">
        <v>1519.775</v>
      </c>
      <c r="E52" s="20" t="n">
        <v>1265.948</v>
      </c>
      <c r="F52" s="20" t="n">
        <v>2419.8875</v>
      </c>
    </row>
    <row r="53" customFormat="false" ht="15" hidden="false" customHeight="false" outlineLevel="0" collapsed="false">
      <c r="A53" s="11" t="s">
        <v>199</v>
      </c>
      <c r="B53" s="21" t="n">
        <v>0.291552710843374</v>
      </c>
      <c r="C53" s="21" t="n">
        <v>0.291552710843374</v>
      </c>
      <c r="D53" s="21" t="n">
        <v>0.183105421686747</v>
      </c>
      <c r="E53" s="21" t="n">
        <v>0.152523855421687</v>
      </c>
      <c r="F53" s="21" t="n">
        <v>0.291552710843374</v>
      </c>
    </row>
    <row r="54" customFormat="false" ht="15" hidden="false" customHeight="false" outlineLevel="0" collapsed="false">
      <c r="A54" s="22" t="s">
        <v>200</v>
      </c>
      <c r="B54" s="23" t="n">
        <f aca="false">B51/B$5</f>
        <v>325528.73168476</v>
      </c>
      <c r="C54" s="23" t="n">
        <f aca="false">C51/C$5</f>
        <v>546429.199387161</v>
      </c>
      <c r="D54" s="23" t="n">
        <f aca="false">D51/D$5</f>
        <v>319881.51875945</v>
      </c>
      <c r="E54" s="23" t="n">
        <f aca="false">E51/E$5</f>
        <v>378294.513887657</v>
      </c>
      <c r="F54" s="23" t="n">
        <f aca="false">F51/F$5</f>
        <v>320104.69213872</v>
      </c>
    </row>
    <row r="55" customFormat="false" ht="15" hidden="false" customHeight="false" outlineLevel="0" collapsed="false">
      <c r="A55" s="22" t="s">
        <v>201</v>
      </c>
      <c r="B55" s="23" t="n">
        <f aca="false">MAX(0,B44-B$27)</f>
        <v>586481.041432955</v>
      </c>
      <c r="C55" s="23" t="n">
        <f aca="false">MAX(0,C44-C$27)</f>
        <v>823647.916316997</v>
      </c>
      <c r="D55" s="23" t="n">
        <f aca="false">MAX(0,D44-D$27)</f>
        <v>764373.5292881</v>
      </c>
      <c r="E55" s="23" t="n">
        <f aca="false">MAX(0,E44-E$27)</f>
        <v>868363.681970376</v>
      </c>
      <c r="F55" s="23" t="n">
        <f aca="false">MAX(0,F44-F$27)</f>
        <v>580657.592882748</v>
      </c>
    </row>
    <row r="56" customFormat="false" ht="15" hidden="false" customHeight="false" outlineLevel="0" collapsed="false">
      <c r="A56" s="9"/>
      <c r="B56" s="9"/>
      <c r="C56" s="9"/>
      <c r="D56" s="9"/>
      <c r="E56" s="9"/>
      <c r="F56" s="9"/>
    </row>
    <row r="57" customFormat="false" ht="39.55" hidden="false" customHeight="false" outlineLevel="0" collapsed="false">
      <c r="A57" s="4" t="s">
        <v>203</v>
      </c>
      <c r="B57" s="4" t="s">
        <v>150</v>
      </c>
      <c r="C57" s="4" t="s">
        <v>151</v>
      </c>
      <c r="D57" s="4" t="s">
        <v>152</v>
      </c>
      <c r="E57" s="4" t="s">
        <v>153</v>
      </c>
      <c r="F57" s="4" t="s">
        <v>154</v>
      </c>
    </row>
    <row r="58" customFormat="false" ht="15" hidden="false" customHeight="false" outlineLevel="0" collapsed="false">
      <c r="A58" s="11" t="s">
        <v>190</v>
      </c>
      <c r="B58" s="20" t="n">
        <v>926481.041432955</v>
      </c>
      <c r="C58" s="20" t="n">
        <v>1368281.97683776</v>
      </c>
      <c r="D58" s="20" t="n">
        <v>1257864.02893624</v>
      </c>
      <c r="E58" s="20" t="n">
        <v>1451579.72700908</v>
      </c>
      <c r="F58" s="20" t="n">
        <v>915632.962340876</v>
      </c>
    </row>
    <row r="59" customFormat="false" ht="15" hidden="false" customHeight="false" outlineLevel="0" collapsed="false">
      <c r="A59" s="11" t="s">
        <v>191</v>
      </c>
      <c r="B59" s="20" t="n">
        <v>463240.520716478</v>
      </c>
      <c r="C59" s="20" t="n">
        <v>684140.988418879</v>
      </c>
      <c r="D59" s="20" t="n">
        <v>419288.009645412</v>
      </c>
      <c r="E59" s="20" t="n">
        <v>483859.909003027</v>
      </c>
      <c r="F59" s="20" t="n">
        <v>457816.481170438</v>
      </c>
    </row>
    <row r="60" customFormat="false" ht="15" hidden="false" customHeight="false" outlineLevel="0" collapsed="false">
      <c r="A60" s="11" t="s">
        <v>192</v>
      </c>
      <c r="B60" s="20" t="n">
        <v>407.495180081349</v>
      </c>
      <c r="C60" s="20" t="n">
        <v>375.695216045513</v>
      </c>
      <c r="D60" s="20" t="n">
        <v>381.170917859465</v>
      </c>
      <c r="E60" s="20" t="n">
        <v>372.199930002329</v>
      </c>
      <c r="F60" s="20" t="n">
        <v>408.764715330748</v>
      </c>
    </row>
    <row r="61" customFormat="false" ht="15" hidden="false" customHeight="false" outlineLevel="0" collapsed="false">
      <c r="A61" s="11" t="s">
        <v>193</v>
      </c>
      <c r="B61" s="20" t="n">
        <v>340000</v>
      </c>
      <c r="C61" s="20" t="n">
        <v>340000</v>
      </c>
      <c r="D61" s="20" t="n">
        <v>340000</v>
      </c>
      <c r="E61" s="20" t="n">
        <v>340000</v>
      </c>
      <c r="F61" s="20" t="n">
        <v>340000</v>
      </c>
    </row>
    <row r="62" customFormat="false" ht="15" hidden="false" customHeight="false" outlineLevel="0" collapsed="false">
      <c r="A62" s="11" t="s">
        <v>194</v>
      </c>
      <c r="B62" s="20" t="n">
        <v>1428.75</v>
      </c>
      <c r="C62" s="20" t="n">
        <v>1428.75</v>
      </c>
      <c r="D62" s="20" t="n">
        <v>1428.75</v>
      </c>
      <c r="E62" s="20" t="n">
        <v>1630.2</v>
      </c>
      <c r="F62" s="20" t="n">
        <v>1428.75</v>
      </c>
    </row>
    <row r="63" customFormat="false" ht="15" hidden="false" customHeight="false" outlineLevel="0" collapsed="false">
      <c r="A63" s="11" t="s">
        <v>195</v>
      </c>
      <c r="B63" s="20" t="n">
        <v>586481.041432955</v>
      </c>
      <c r="C63" s="20" t="n">
        <v>1028281.97683776</v>
      </c>
      <c r="D63" s="20" t="n">
        <v>917864.028936236</v>
      </c>
      <c r="E63" s="20" t="n">
        <v>1111579.72700908</v>
      </c>
      <c r="F63" s="20" t="n">
        <v>575632.962340876</v>
      </c>
    </row>
    <row r="64" customFormat="false" ht="15" hidden="false" customHeight="false" outlineLevel="0" collapsed="false">
      <c r="A64" s="11" t="s">
        <v>196</v>
      </c>
      <c r="B64" s="20" t="n">
        <v>56481.0414329551</v>
      </c>
      <c r="C64" s="20" t="n">
        <v>498281.976837757</v>
      </c>
      <c r="D64" s="20" t="n">
        <v>387864.028936236</v>
      </c>
      <c r="E64" s="20" t="n">
        <v>581579.727009081</v>
      </c>
      <c r="F64" s="20" t="n">
        <v>45632.9623408755</v>
      </c>
    </row>
    <row r="65" customFormat="false" ht="15" hidden="false" customHeight="false" outlineLevel="0" collapsed="false">
      <c r="A65" s="11" t="s">
        <v>197</v>
      </c>
      <c r="B65" s="20" t="n">
        <v>657916.486272809</v>
      </c>
      <c r="C65" s="20" t="n">
        <v>1099717.42167761</v>
      </c>
      <c r="D65" s="20" t="n">
        <v>964809.332754668</v>
      </c>
      <c r="E65" s="20" t="n">
        <v>1140048.31813929</v>
      </c>
      <c r="F65" s="20" t="n">
        <v>647068.407180729</v>
      </c>
    </row>
    <row r="66" customFormat="false" ht="15" hidden="false" customHeight="false" outlineLevel="0" collapsed="false">
      <c r="A66" s="11" t="s">
        <v>198</v>
      </c>
      <c r="B66" s="20" t="n">
        <v>2419.8875</v>
      </c>
      <c r="C66" s="20" t="n">
        <v>2419.8875</v>
      </c>
      <c r="D66" s="20" t="n">
        <v>1519.775</v>
      </c>
      <c r="E66" s="20" t="n">
        <v>1265.948</v>
      </c>
      <c r="F66" s="20" t="n">
        <v>2419.8875</v>
      </c>
    </row>
    <row r="67" customFormat="false" ht="15" hidden="false" customHeight="false" outlineLevel="0" collapsed="false">
      <c r="A67" s="11" t="s">
        <v>199</v>
      </c>
      <c r="B67" s="21" t="n">
        <v>0.291552710843374</v>
      </c>
      <c r="C67" s="21" t="n">
        <v>0.291552710843374</v>
      </c>
      <c r="D67" s="21" t="n">
        <v>0.183105421686747</v>
      </c>
      <c r="E67" s="21" t="n">
        <v>0.152523855421687</v>
      </c>
      <c r="F67" s="21" t="n">
        <v>0.291552710843374</v>
      </c>
    </row>
    <row r="68" customFormat="false" ht="15" hidden="false" customHeight="false" outlineLevel="0" collapsed="false">
      <c r="A68" s="22" t="s">
        <v>200</v>
      </c>
      <c r="B68" s="23" t="n">
        <f aca="false">B65/B$5</f>
        <v>328958.243136404</v>
      </c>
      <c r="C68" s="23" t="n">
        <f aca="false">C65/C$5</f>
        <v>549858.710838806</v>
      </c>
      <c r="D68" s="23" t="n">
        <f aca="false">D65/D$5</f>
        <v>321603.110918223</v>
      </c>
      <c r="E68" s="23" t="n">
        <f aca="false">E65/E$5</f>
        <v>380016.10604643</v>
      </c>
      <c r="F68" s="23" t="n">
        <f aca="false">F65/F$5</f>
        <v>323534.203590365</v>
      </c>
    </row>
    <row r="69" customFormat="false" ht="15" hidden="false" customHeight="false" outlineLevel="0" collapsed="false">
      <c r="A69" s="22" t="s">
        <v>201</v>
      </c>
      <c r="B69" s="23" t="n">
        <f aca="false">MAX(0,B58-B$27)</f>
        <v>586481.041432955</v>
      </c>
      <c r="C69" s="23" t="n">
        <f aca="false">MAX(0,C58-C$27)</f>
        <v>823647.916316997</v>
      </c>
      <c r="D69" s="23" t="n">
        <f aca="false">MAX(0,D58-D$27)</f>
        <v>764373.5292881</v>
      </c>
      <c r="E69" s="23" t="n">
        <f aca="false">MAX(0,E58-E$27)</f>
        <v>868363.681970376</v>
      </c>
      <c r="F69" s="23" t="n">
        <f aca="false">MAX(0,F58-F$27)</f>
        <v>580657.592882748</v>
      </c>
    </row>
    <row r="70" customFormat="false" ht="15" hidden="false" customHeight="false" outlineLevel="0" collapsed="false">
      <c r="A70" s="9"/>
      <c r="B70" s="9"/>
      <c r="C70" s="9"/>
      <c r="D70" s="9"/>
      <c r="E70" s="9"/>
      <c r="F70" s="9"/>
    </row>
    <row r="71" customFormat="false" ht="15" hidden="false" customHeight="false" outlineLevel="0" collapsed="false">
      <c r="A71" s="10" t="s">
        <v>204</v>
      </c>
      <c r="B71" s="9"/>
      <c r="C71" s="9"/>
      <c r="D71" s="9"/>
      <c r="E71" s="9"/>
      <c r="F71" s="9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120"/>
  </cols>
  <sheetData>
    <row r="1" customFormat="false" ht="15" hidden="false" customHeight="false" outlineLevel="0" collapsed="false">
      <c r="A1" s="4" t="s">
        <v>205</v>
      </c>
      <c r="B1" s="4" t="s">
        <v>206</v>
      </c>
    </row>
    <row r="2" customFormat="false" ht="26.85" hidden="false" customHeight="false" outlineLevel="0" collapsed="false">
      <c r="A2" s="11" t="s">
        <v>207</v>
      </c>
      <c r="B2" s="2" t="s">
        <v>208</v>
      </c>
    </row>
    <row r="3" customFormat="false" ht="15" hidden="false" customHeight="false" outlineLevel="0" collapsed="false">
      <c r="A3" s="11" t="s">
        <v>209</v>
      </c>
      <c r="B3" s="2" t="s">
        <v>210</v>
      </c>
    </row>
    <row r="4" customFormat="false" ht="26.85" hidden="false" customHeight="false" outlineLevel="0" collapsed="false">
      <c r="A4" s="11" t="s">
        <v>211</v>
      </c>
      <c r="B4" s="2" t="s">
        <v>212</v>
      </c>
    </row>
    <row r="5" customFormat="false" ht="15" hidden="false" customHeight="false" outlineLevel="0" collapsed="false">
      <c r="A5" s="11" t="s">
        <v>213</v>
      </c>
      <c r="B5" s="2" t="s">
        <v>214</v>
      </c>
    </row>
    <row r="6" customFormat="false" ht="15" hidden="false" customHeight="false" outlineLevel="0" collapsed="false">
      <c r="A6" s="11" t="s">
        <v>215</v>
      </c>
      <c r="B6" s="2" t="s">
        <v>216</v>
      </c>
    </row>
    <row r="7" customFormat="false" ht="26.85" hidden="false" customHeight="false" outlineLevel="0" collapsed="false">
      <c r="A7" s="11" t="s">
        <v>217</v>
      </c>
      <c r="B7" s="2" t="s">
        <v>218</v>
      </c>
    </row>
    <row r="8" customFormat="false" ht="15" hidden="false" customHeight="false" outlineLevel="0" collapsed="false">
      <c r="A8" s="11" t="s">
        <v>219</v>
      </c>
      <c r="B8" s="2" t="s">
        <v>220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2026-10-29T02:19:43Z</dcterms:created>
  <dc:creator>openpyxl</dc:creator>
  <dc:description/>
  <dc:language>en-US</dc:language>
  <cp:lastModifiedBy/>
  <dcterms:modified xsi:type="dcterms:W3CDTF">2026-10-29T02:19:43Z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