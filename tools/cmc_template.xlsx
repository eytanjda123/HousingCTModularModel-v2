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 Snapshot" sheetId="2" state="visible" r:id="rId2"/>
    <sheet xmlns:r="http://schemas.openxmlformats.org/officeDocument/2006/relationships" name="Hartford" sheetId="3" state="visible" r:id="rId3"/>
    <sheet xmlns:r="http://schemas.openxmlformats.org/officeDocument/2006/relationships" name="New Haven" sheetId="4" state="visible" r:id="rId4"/>
    <sheet xmlns:r="http://schemas.openxmlformats.org/officeDocument/2006/relationships" name="Waterbury" sheetId="5" state="visible" r:id="rId5"/>
    <sheet xmlns:r="http://schemas.openxmlformats.org/officeDocument/2006/relationships" name="Compare" sheetId="6" state="visible" r:id="rId6"/>
    <sheet xmlns:r="http://schemas.openxmlformats.org/officeDocument/2006/relationships" name="Market Data" sheetId="7" state="visible" r:id="rId7"/>
    <sheet xmlns:r="http://schemas.openxmlformats.org/officeDocument/2006/relationships" name="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0"/>
    <numFmt numFmtId="167" formatCode="+$#,##0;-$#,##0;$0"/>
  </numFmts>
  <fonts count="6">
    <font>
      <name val="Calibri"/>
      <family val="2"/>
      <color theme="1"/>
      <sz val="11"/>
      <scheme val="minor"/>
    </font>
    <font>
      <name val="Arial"/>
      <b val="1"/>
      <color rgb="001E2A32"/>
      <sz val="14"/>
    </font>
    <font>
      <name val="Arial"/>
      <i val="1"/>
      <color rgb="00595959"/>
    </font>
    <font>
      <name val="Arial"/>
    </font>
    <font>
      <name val="Arial"/>
      <b val="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A32"/>
      </patternFill>
    </fill>
    <fill>
      <patternFill patternType="solid">
        <fgColor rgb="00DFE3E6"/>
      </patternFill>
    </fill>
    <fill>
      <patternFill patternType="solid">
        <fgColor rgb="00E1E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49" fontId="3" fillId="0" borderId="0" pivotButton="0" quotePrefix="0" xfId="0"/>
    <xf numFmtId="3" fontId="3" fillId="0" borderId="0" pivotButton="0" quotePrefix="0" xfId="0"/>
    <xf numFmtId="9" fontId="3" fillId="0" borderId="0" pivotButton="0" quotePrefix="0" xfId="0"/>
    <xf numFmtId="164" fontId="3" fillId="0" borderId="0" pivotButton="0" quotePrefix="0" xfId="0"/>
    <xf numFmtId="0" fontId="4" fillId="3" borderId="0" pivotButton="0" quotePrefix="0" xfId="0"/>
    <xf numFmtId="165" fontId="3" fillId="0" borderId="0" pivotButton="0" quotePrefix="0" xfId="0"/>
    <xf numFmtId="2" fontId="3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166" fontId="3" fillId="0" borderId="0" pivotButton="0" quotePrefix="0" xfId="0"/>
    <xf numFmtId="165" fontId="4" fillId="4" borderId="0" pivotButton="0" quotePrefix="0" xfId="0"/>
    <xf numFmtId="164" fontId="4" fillId="0" borderId="0" pivotButton="0" quotePrefix="0" xfId="0"/>
    <xf numFmtId="164" fontId="0" fillId="0" borderId="0" pivotButton="0" quotePrefix="0" xfId="0"/>
    <xf numFmtId="9" fontId="4" fillId="3" borderId="0" pivotButton="0" quotePrefix="0" xfId="0"/>
    <xf numFmtId="167" fontId="3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4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 a buyer can pay vs. the appraised value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'Charts'!B7</f>
            </strRef>
          </tx>
          <spPr>
            <a:ln xmlns:a="http://schemas.openxmlformats.org/drawingml/2006/main" w="28000">
              <a:solidFill>
                <a:srgbClr val="2C6A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'Charts'!$C$6:$I$6</f>
            </numRef>
          </cat>
          <val>
            <numRef>
              <f>'Charts'!$C$7:$I$7</f>
            </numRef>
          </val>
          <smooth val="0"/>
        </ser>
        <ser>
          <idx val="1"/>
          <order val="1"/>
          <tx>
            <strRef>
              <f>'Charts'!B8</f>
            </strRef>
          </tx>
          <spPr>
            <a:ln xmlns:a="http://schemas.openxmlformats.org/drawingml/2006/main" w="28000">
              <a:solidFill>
                <a:srgbClr val="2C6A8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'Charts'!$C$6:$I$6</f>
            </numRef>
          </cat>
          <val>
            <numRef>
              <f>'Charts'!$C$8:$I$8</f>
            </numRef>
          </val>
          <smooth val="0"/>
        </ser>
        <ser>
          <idx val="2"/>
          <order val="2"/>
          <tx>
            <strRef>
              <f>'Charts'!B9</f>
            </strRef>
          </tx>
          <spPr>
            <a:ln xmlns:a="http://schemas.openxmlformats.org/drawingml/2006/main" w="28000">
              <a:solidFill>
                <a:srgbClr val="B545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'Charts'!$C$6:$I$6</f>
            </numRef>
          </cat>
          <val>
            <numRef>
              <f>'Charts'!$C$9:$I$9</f>
            </numRef>
          </val>
          <smooth val="0"/>
        </ser>
        <ser>
          <idx val="3"/>
          <order val="3"/>
          <tx>
            <strRef>
              <f>'Charts'!B10</f>
            </strRef>
          </tx>
          <spPr>
            <a:ln xmlns:a="http://schemas.openxmlformats.org/drawingml/2006/main" w="28000">
              <a:solidFill>
                <a:srgbClr val="B5452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'Charts'!$C$6:$I$6</f>
            </numRef>
          </cat>
          <val>
            <numRef>
              <f>'Charts'!$C$10:$I$10</f>
            </numRef>
          </val>
          <smooth val="0"/>
        </ser>
        <ser>
          <idx val="4"/>
          <order val="4"/>
          <tx>
            <strRef>
              <f>'Charts'!B11</f>
            </strRef>
          </tx>
          <spPr>
            <a:ln xmlns:a="http://schemas.openxmlformats.org/drawingml/2006/main" w="28000">
              <a:solidFill>
                <a:srgbClr val="6B7F3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'Charts'!$C$6:$I$6</f>
            </numRef>
          </cat>
          <val>
            <numRef>
              <f>'Charts'!$C$11:$I$11</f>
            </numRef>
          </val>
          <smooth val="0"/>
        </ser>
        <ser>
          <idx val="5"/>
          <order val="5"/>
          <tx>
            <strRef>
              <f>'Charts'!B12</f>
            </strRef>
          </tx>
          <spPr>
            <a:ln xmlns:a="http://schemas.openxmlformats.org/drawingml/2006/main" w="28000">
              <a:solidFill>
                <a:srgbClr val="6B7F3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'Charts'!$C$6:$I$6</f>
            </numRef>
          </cat>
          <val>
            <numRef>
              <f>'Charts'!$C$12:$I$12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Owner income, % of AMI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renter households by income band, 2024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'Charts'!C34</f>
            </strRef>
          </tx>
          <spPr>
            <a:solidFill xmlns:a="http://schemas.openxmlformats.org/drawingml/2006/main">
              <a:srgbClr val="3B4B55"/>
            </a:solidFill>
            <a:ln xmlns:a="http://schemas.openxmlformats.org/drawingml/2006/main">
              <a:solidFill>
                <a:srgbClr val="3B4B55"/>
              </a:solidFill>
              <a:prstDash val="solid"/>
            </a:ln>
          </spPr>
          <cat>
            <numRef>
              <f>'Charts'!$B$35:$B$37</f>
            </numRef>
          </cat>
          <val>
            <numRef>
              <f>'Charts'!$C$35:$C$37</f>
            </numRef>
          </val>
        </ser>
        <ser>
          <idx val="1"/>
          <order val="1"/>
          <tx>
            <strRef>
              <f>'Charts'!D34</f>
            </strRef>
          </tx>
          <spPr>
            <a:solidFill xmlns:a="http://schemas.openxmlformats.org/drawingml/2006/main">
              <a:srgbClr val="7A8A92"/>
            </a:solidFill>
            <a:ln xmlns:a="http://schemas.openxmlformats.org/drawingml/2006/main">
              <a:solidFill>
                <a:srgbClr val="7A8A92"/>
              </a:solidFill>
              <a:prstDash val="solid"/>
            </a:ln>
          </spPr>
          <cat>
            <numRef>
              <f>'Charts'!$B$35:$B$37</f>
            </numRef>
          </cat>
          <val>
            <numRef>
              <f>'Charts'!$D$35:$D$37</f>
            </numRef>
          </val>
        </ser>
        <ser>
          <idx val="2"/>
          <order val="2"/>
          <tx>
            <strRef>
              <f>'Charts'!E34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'Charts'!$B$35:$B$37</f>
            </numRef>
          </cat>
          <val>
            <numRef>
              <f>'Charts'!$E$35:$E$37</f>
            </numRef>
          </val>
        </ser>
        <ser>
          <idx val="3"/>
          <order val="3"/>
          <tx>
            <strRef>
              <f>'Charts'!F34</f>
            </strRef>
          </tx>
          <spPr>
            <a:solidFill xmlns:a="http://schemas.openxmlformats.org/drawingml/2006/main">
              <a:srgbClr val="D9A07E"/>
            </a:solidFill>
            <a:ln xmlns:a="http://schemas.openxmlformats.org/drawingml/2006/main">
              <a:solidFill>
                <a:srgbClr val="D9A07E"/>
              </a:solidFill>
              <a:prstDash val="solid"/>
            </a:ln>
          </spPr>
          <cat>
            <numRef>
              <f>'Charts'!$B$35:$B$37</f>
            </numRef>
          </cat>
          <val>
            <numRef>
              <f>'Charts'!$F$35:$F$37</f>
            </numRef>
          </val>
        </ser>
        <ser>
          <idx val="4"/>
          <order val="4"/>
          <tx>
            <strRef>
              <f>'Charts'!G34</f>
            </strRef>
          </tx>
          <spPr>
            <a:solidFill xmlns:a="http://schemas.openxmlformats.org/drawingml/2006/main">
              <a:srgbClr val="DFE3E6"/>
            </a:solidFill>
            <a:ln xmlns:a="http://schemas.openxmlformats.org/drawingml/2006/main">
              <a:solidFill>
                <a:srgbClr val="DFE3E6"/>
              </a:solidFill>
              <a:prstDash val="solid"/>
            </a:ln>
          </spPr>
          <cat>
            <numRef>
              <f>'Charts'!$B$35:$B$37</f>
            </numRef>
          </cat>
          <val>
            <numRef>
              <f>'Charts'!$G$35:$G$37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Hartford: uses vs. sources, one building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'Charts'!B59</f>
            </strRef>
          </tx>
          <spPr>
            <a:solidFill xmlns:a="http://schemas.openxmlformats.org/drawingml/2006/main">
              <a:srgbClr val="1E2A32"/>
            </a:solidFill>
            <a:ln xmlns:a="http://schemas.openxmlformats.org/drawingml/2006/main">
              <a:solidFill>
                <a:srgbClr val="1E2A32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'Charts'!$C$59:$D$59</f>
            </numRef>
          </val>
        </ser>
        <ser>
          <idx val="1"/>
          <order val="1"/>
          <tx>
            <strRef>
              <f>'Charts'!B60</f>
            </strRef>
          </tx>
          <spPr>
            <a:solidFill xmlns:a="http://schemas.openxmlformats.org/drawingml/2006/main">
              <a:srgbClr val="3B4B55"/>
            </a:solidFill>
            <a:ln xmlns:a="http://schemas.openxmlformats.org/drawingml/2006/main">
              <a:solidFill>
                <a:srgbClr val="3B4B55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'Charts'!$C$60:$D$60</f>
            </numRef>
          </val>
        </ser>
        <ser>
          <idx val="2"/>
          <order val="2"/>
          <tx>
            <strRef>
              <f>'Charts'!B61</f>
            </strRef>
          </tx>
          <spPr>
            <a:solidFill xmlns:a="http://schemas.openxmlformats.org/drawingml/2006/main">
              <a:srgbClr val="7A8A92"/>
            </a:solidFill>
            <a:ln xmlns:a="http://schemas.openxmlformats.org/drawingml/2006/main">
              <a:solidFill>
                <a:srgbClr val="7A8A92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'Charts'!$C$61:$D$61</f>
            </numRef>
          </val>
        </ser>
        <ser>
          <idx val="3"/>
          <order val="3"/>
          <tx>
            <strRef>
              <f>'Charts'!B62</f>
            </strRef>
          </tx>
          <spPr>
            <a:solidFill xmlns:a="http://schemas.openxmlformats.org/drawingml/2006/main">
              <a:srgbClr val="A9B4BA"/>
            </a:solidFill>
            <a:ln xmlns:a="http://schemas.openxmlformats.org/drawingml/2006/main">
              <a:solidFill>
                <a:srgbClr val="A9B4BA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'Charts'!$C$62:$D$62</f>
            </numRef>
          </val>
        </ser>
        <ser>
          <idx val="4"/>
          <order val="4"/>
          <tx>
            <strRef>
              <f>'Charts'!B63</f>
            </strRef>
          </tx>
          <spPr>
            <a:solidFill xmlns:a="http://schemas.openxmlformats.org/drawingml/2006/main">
              <a:srgbClr val="C9D1D6"/>
            </a:solidFill>
            <a:ln xmlns:a="http://schemas.openxmlformats.org/drawingml/2006/main">
              <a:solidFill>
                <a:srgbClr val="C9D1D6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'Charts'!$C$63:$D$63</f>
            </numRef>
          </val>
        </ser>
        <ser>
          <idx val="5"/>
          <order val="5"/>
          <tx>
            <strRef>
              <f>'Charts'!B64</f>
            </strRef>
          </tx>
          <spPr>
            <a:solidFill xmlns:a="http://schemas.openxmlformats.org/drawingml/2006/main">
              <a:srgbClr val="9CC3D5"/>
            </a:solidFill>
            <a:ln xmlns:a="http://schemas.openxmlformats.org/drawingml/2006/main">
              <a:solidFill>
                <a:srgbClr val="9CC3D5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'Charts'!$C$64:$D$64</f>
            </numRef>
          </val>
        </ser>
        <ser>
          <idx val="6"/>
          <order val="6"/>
          <tx>
            <strRef>
              <f>'Charts'!B65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'Charts'!$C$65:$D$65</f>
            </numRef>
          </val>
        </ser>
        <ser>
          <idx val="7"/>
          <order val="7"/>
          <tx>
            <strRef>
              <f>'Charts'!B66</f>
            </strRef>
          </tx>
          <spPr>
            <a:solidFill xmlns:a="http://schemas.openxmlformats.org/drawingml/2006/main">
              <a:srgbClr val="5B8FA8"/>
            </a:solidFill>
            <a:ln xmlns:a="http://schemas.openxmlformats.org/drawingml/2006/main">
              <a:solidFill>
                <a:srgbClr val="5B8FA8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'Charts'!$C$66:$D$66</f>
            </numRef>
          </val>
        </ser>
        <ser>
          <idx val="8"/>
          <order val="8"/>
          <tx>
            <strRef>
              <f>'Charts'!B67</f>
            </strRef>
          </tx>
          <spPr>
            <a:solidFill xmlns:a="http://schemas.openxmlformats.org/drawingml/2006/main">
              <a:srgbClr val="8FB8CC"/>
            </a:solidFill>
            <a:ln xmlns:a="http://schemas.openxmlformats.org/drawingml/2006/main">
              <a:solidFill>
                <a:srgbClr val="8FB8CC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'Charts'!$C$67:$D$67</f>
            </numRef>
          </val>
        </ser>
        <ser>
          <idx val="9"/>
          <order val="9"/>
          <tx>
            <strRef>
              <f>'Charts'!B68</f>
            </strRef>
          </tx>
          <spPr>
            <a:solidFill xmlns:a="http://schemas.openxmlformats.org/drawingml/2006/main">
              <a:srgbClr val="D9A07E"/>
            </a:solidFill>
            <a:ln xmlns:a="http://schemas.openxmlformats.org/drawingml/2006/main">
              <a:solidFill>
                <a:srgbClr val="D9A07E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'Charts'!$C$68:$D$68</f>
            </numRef>
          </val>
        </ser>
        <ser>
          <idx val="10"/>
          <order val="10"/>
          <tx>
            <strRef>
              <f>'Charts'!B69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'Charts'!$C$69:$D$69</f>
            </numRef>
          </val>
        </ser>
        <ser>
          <idx val="11"/>
          <order val="11"/>
          <tx>
            <strRef>
              <f>'Charts'!B70</f>
            </strRef>
          </tx>
          <spPr>
            <a:solidFill xmlns:a="http://schemas.openxmlformats.org/drawingml/2006/main">
              <a:srgbClr val="8E9F5E"/>
            </a:solidFill>
            <a:ln xmlns:a="http://schemas.openxmlformats.org/drawingml/2006/main">
              <a:solidFill>
                <a:srgbClr val="8E9F5E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'Charts'!$C$70:$D$70</f>
            </numRef>
          </val>
        </ser>
        <ser>
          <idx val="12"/>
          <order val="12"/>
          <tx>
            <strRef>
              <f>'Charts'!B71</f>
            </strRef>
          </tx>
          <spPr>
            <a:solidFill xmlns:a="http://schemas.openxmlformats.org/drawingml/2006/main">
              <a:srgbClr val="B3C08A"/>
            </a:solidFill>
            <a:ln xmlns:a="http://schemas.openxmlformats.org/drawingml/2006/main">
              <a:solidFill>
                <a:srgbClr val="B3C08A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'Charts'!$C$71:$D$71</f>
            </numRef>
          </val>
        </ser>
        <ser>
          <idx val="13"/>
          <order val="13"/>
          <tx>
            <strRef>
              <f>'Charts'!B72</f>
            </strRef>
          </tx>
          <spPr>
            <a:solidFill xmlns:a="http://schemas.openxmlformats.org/drawingml/2006/main">
              <a:srgbClr val="D4AF37"/>
            </a:solidFill>
            <a:ln xmlns:a="http://schemas.openxmlformats.org/drawingml/2006/main">
              <a:solidFill>
                <a:srgbClr val="D4AF37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'Charts'!$C$72:$D$72</f>
            </numRef>
          </val>
        </ser>
        <ser>
          <idx val="14"/>
          <order val="14"/>
          <tx>
            <strRef>
              <f>'Charts'!B73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'Charts'!$C$73:$D$73</f>
            </numRef>
          </val>
        </ser>
        <ser>
          <idx val="15"/>
          <order val="15"/>
          <tx>
            <strRef>
              <f>'Charts'!B74</f>
            </strRef>
          </tx>
          <spPr>
            <a:solidFill xmlns:a="http://schemas.openxmlformats.org/drawingml/2006/main">
              <a:srgbClr val="E06C55"/>
            </a:solidFill>
            <a:ln xmlns:a="http://schemas.openxmlformats.org/drawingml/2006/main">
              <a:solidFill>
                <a:srgbClr val="E06C55"/>
              </a:solidFill>
              <a:prstDash val="solid"/>
            </a:ln>
          </spPr>
          <cat>
            <numRef>
              <f>'Charts'!$C$58:$D$58</f>
            </numRef>
          </cat>
          <val>
            <numRef>
              <f>'Charts'!$C$74:$D$74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 Haven: uses vs. sources, one building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'Charts'!B81</f>
            </strRef>
          </tx>
          <spPr>
            <a:solidFill xmlns:a="http://schemas.openxmlformats.org/drawingml/2006/main">
              <a:srgbClr val="1E2A32"/>
            </a:solidFill>
            <a:ln xmlns:a="http://schemas.openxmlformats.org/drawingml/2006/main">
              <a:solidFill>
                <a:srgbClr val="1E2A32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'Charts'!$C$81:$D$81</f>
            </numRef>
          </val>
        </ser>
        <ser>
          <idx val="1"/>
          <order val="1"/>
          <tx>
            <strRef>
              <f>'Charts'!B82</f>
            </strRef>
          </tx>
          <spPr>
            <a:solidFill xmlns:a="http://schemas.openxmlformats.org/drawingml/2006/main">
              <a:srgbClr val="3B4B55"/>
            </a:solidFill>
            <a:ln xmlns:a="http://schemas.openxmlformats.org/drawingml/2006/main">
              <a:solidFill>
                <a:srgbClr val="3B4B55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'Charts'!$C$82:$D$82</f>
            </numRef>
          </val>
        </ser>
        <ser>
          <idx val="2"/>
          <order val="2"/>
          <tx>
            <strRef>
              <f>'Charts'!B83</f>
            </strRef>
          </tx>
          <spPr>
            <a:solidFill xmlns:a="http://schemas.openxmlformats.org/drawingml/2006/main">
              <a:srgbClr val="7A8A92"/>
            </a:solidFill>
            <a:ln xmlns:a="http://schemas.openxmlformats.org/drawingml/2006/main">
              <a:solidFill>
                <a:srgbClr val="7A8A92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'Charts'!$C$83:$D$83</f>
            </numRef>
          </val>
        </ser>
        <ser>
          <idx val="3"/>
          <order val="3"/>
          <tx>
            <strRef>
              <f>'Charts'!B84</f>
            </strRef>
          </tx>
          <spPr>
            <a:solidFill xmlns:a="http://schemas.openxmlformats.org/drawingml/2006/main">
              <a:srgbClr val="A9B4BA"/>
            </a:solidFill>
            <a:ln xmlns:a="http://schemas.openxmlformats.org/drawingml/2006/main">
              <a:solidFill>
                <a:srgbClr val="A9B4BA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'Charts'!$C$84:$D$84</f>
            </numRef>
          </val>
        </ser>
        <ser>
          <idx val="4"/>
          <order val="4"/>
          <tx>
            <strRef>
              <f>'Charts'!B85</f>
            </strRef>
          </tx>
          <spPr>
            <a:solidFill xmlns:a="http://schemas.openxmlformats.org/drawingml/2006/main">
              <a:srgbClr val="C9D1D6"/>
            </a:solidFill>
            <a:ln xmlns:a="http://schemas.openxmlformats.org/drawingml/2006/main">
              <a:solidFill>
                <a:srgbClr val="C9D1D6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'Charts'!$C$85:$D$85</f>
            </numRef>
          </val>
        </ser>
        <ser>
          <idx val="5"/>
          <order val="5"/>
          <tx>
            <strRef>
              <f>'Charts'!B86</f>
            </strRef>
          </tx>
          <spPr>
            <a:solidFill xmlns:a="http://schemas.openxmlformats.org/drawingml/2006/main">
              <a:srgbClr val="9CC3D5"/>
            </a:solidFill>
            <a:ln xmlns:a="http://schemas.openxmlformats.org/drawingml/2006/main">
              <a:solidFill>
                <a:srgbClr val="9CC3D5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'Charts'!$C$86:$D$86</f>
            </numRef>
          </val>
        </ser>
        <ser>
          <idx val="6"/>
          <order val="6"/>
          <tx>
            <strRef>
              <f>'Charts'!B87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'Charts'!$C$87:$D$87</f>
            </numRef>
          </val>
        </ser>
        <ser>
          <idx val="7"/>
          <order val="7"/>
          <tx>
            <strRef>
              <f>'Charts'!B88</f>
            </strRef>
          </tx>
          <spPr>
            <a:solidFill xmlns:a="http://schemas.openxmlformats.org/drawingml/2006/main">
              <a:srgbClr val="5B8FA8"/>
            </a:solidFill>
            <a:ln xmlns:a="http://schemas.openxmlformats.org/drawingml/2006/main">
              <a:solidFill>
                <a:srgbClr val="5B8FA8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'Charts'!$C$88:$D$88</f>
            </numRef>
          </val>
        </ser>
        <ser>
          <idx val="8"/>
          <order val="8"/>
          <tx>
            <strRef>
              <f>'Charts'!B89</f>
            </strRef>
          </tx>
          <spPr>
            <a:solidFill xmlns:a="http://schemas.openxmlformats.org/drawingml/2006/main">
              <a:srgbClr val="8FB8CC"/>
            </a:solidFill>
            <a:ln xmlns:a="http://schemas.openxmlformats.org/drawingml/2006/main">
              <a:solidFill>
                <a:srgbClr val="8FB8CC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'Charts'!$C$89:$D$89</f>
            </numRef>
          </val>
        </ser>
        <ser>
          <idx val="9"/>
          <order val="9"/>
          <tx>
            <strRef>
              <f>'Charts'!B90</f>
            </strRef>
          </tx>
          <spPr>
            <a:solidFill xmlns:a="http://schemas.openxmlformats.org/drawingml/2006/main">
              <a:srgbClr val="D9A07E"/>
            </a:solidFill>
            <a:ln xmlns:a="http://schemas.openxmlformats.org/drawingml/2006/main">
              <a:solidFill>
                <a:srgbClr val="D9A07E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'Charts'!$C$90:$D$90</f>
            </numRef>
          </val>
        </ser>
        <ser>
          <idx val="10"/>
          <order val="10"/>
          <tx>
            <strRef>
              <f>'Charts'!B91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'Charts'!$C$91:$D$91</f>
            </numRef>
          </val>
        </ser>
        <ser>
          <idx val="11"/>
          <order val="11"/>
          <tx>
            <strRef>
              <f>'Charts'!B92</f>
            </strRef>
          </tx>
          <spPr>
            <a:solidFill xmlns:a="http://schemas.openxmlformats.org/drawingml/2006/main">
              <a:srgbClr val="8E9F5E"/>
            </a:solidFill>
            <a:ln xmlns:a="http://schemas.openxmlformats.org/drawingml/2006/main">
              <a:solidFill>
                <a:srgbClr val="8E9F5E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'Charts'!$C$92:$D$92</f>
            </numRef>
          </val>
        </ser>
        <ser>
          <idx val="12"/>
          <order val="12"/>
          <tx>
            <strRef>
              <f>'Charts'!B93</f>
            </strRef>
          </tx>
          <spPr>
            <a:solidFill xmlns:a="http://schemas.openxmlformats.org/drawingml/2006/main">
              <a:srgbClr val="B3C08A"/>
            </a:solidFill>
            <a:ln xmlns:a="http://schemas.openxmlformats.org/drawingml/2006/main">
              <a:solidFill>
                <a:srgbClr val="B3C08A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'Charts'!$C$93:$D$93</f>
            </numRef>
          </val>
        </ser>
        <ser>
          <idx val="13"/>
          <order val="13"/>
          <tx>
            <strRef>
              <f>'Charts'!B94</f>
            </strRef>
          </tx>
          <spPr>
            <a:solidFill xmlns:a="http://schemas.openxmlformats.org/drawingml/2006/main">
              <a:srgbClr val="D4AF37"/>
            </a:solidFill>
            <a:ln xmlns:a="http://schemas.openxmlformats.org/drawingml/2006/main">
              <a:solidFill>
                <a:srgbClr val="D4AF37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'Charts'!$C$94:$D$94</f>
            </numRef>
          </val>
        </ser>
        <ser>
          <idx val="14"/>
          <order val="14"/>
          <tx>
            <strRef>
              <f>'Charts'!B95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'Charts'!$C$95:$D$95</f>
            </numRef>
          </val>
        </ser>
        <ser>
          <idx val="15"/>
          <order val="15"/>
          <tx>
            <strRef>
              <f>'Charts'!B96</f>
            </strRef>
          </tx>
          <spPr>
            <a:solidFill xmlns:a="http://schemas.openxmlformats.org/drawingml/2006/main">
              <a:srgbClr val="E06C55"/>
            </a:solidFill>
            <a:ln xmlns:a="http://schemas.openxmlformats.org/drawingml/2006/main">
              <a:solidFill>
                <a:srgbClr val="E06C55"/>
              </a:solidFill>
              <a:prstDash val="solid"/>
            </a:ln>
          </spPr>
          <cat>
            <numRef>
              <f>'Charts'!$C$80:$D$80</f>
            </numRef>
          </cat>
          <val>
            <numRef>
              <f>'Charts'!$C$96:$D$96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Waterbury: uses vs. sources, one building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'Charts'!B103</f>
            </strRef>
          </tx>
          <spPr>
            <a:solidFill xmlns:a="http://schemas.openxmlformats.org/drawingml/2006/main">
              <a:srgbClr val="1E2A32"/>
            </a:solidFill>
            <a:ln xmlns:a="http://schemas.openxmlformats.org/drawingml/2006/main">
              <a:solidFill>
                <a:srgbClr val="1E2A32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'Charts'!$C$103:$D$103</f>
            </numRef>
          </val>
        </ser>
        <ser>
          <idx val="1"/>
          <order val="1"/>
          <tx>
            <strRef>
              <f>'Charts'!B104</f>
            </strRef>
          </tx>
          <spPr>
            <a:solidFill xmlns:a="http://schemas.openxmlformats.org/drawingml/2006/main">
              <a:srgbClr val="3B4B55"/>
            </a:solidFill>
            <a:ln xmlns:a="http://schemas.openxmlformats.org/drawingml/2006/main">
              <a:solidFill>
                <a:srgbClr val="3B4B55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'Charts'!$C$104:$D$104</f>
            </numRef>
          </val>
        </ser>
        <ser>
          <idx val="2"/>
          <order val="2"/>
          <tx>
            <strRef>
              <f>'Charts'!B105</f>
            </strRef>
          </tx>
          <spPr>
            <a:solidFill xmlns:a="http://schemas.openxmlformats.org/drawingml/2006/main">
              <a:srgbClr val="7A8A92"/>
            </a:solidFill>
            <a:ln xmlns:a="http://schemas.openxmlformats.org/drawingml/2006/main">
              <a:solidFill>
                <a:srgbClr val="7A8A92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'Charts'!$C$105:$D$105</f>
            </numRef>
          </val>
        </ser>
        <ser>
          <idx val="3"/>
          <order val="3"/>
          <tx>
            <strRef>
              <f>'Charts'!B106</f>
            </strRef>
          </tx>
          <spPr>
            <a:solidFill xmlns:a="http://schemas.openxmlformats.org/drawingml/2006/main">
              <a:srgbClr val="A9B4BA"/>
            </a:solidFill>
            <a:ln xmlns:a="http://schemas.openxmlformats.org/drawingml/2006/main">
              <a:solidFill>
                <a:srgbClr val="A9B4BA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'Charts'!$C$106:$D$106</f>
            </numRef>
          </val>
        </ser>
        <ser>
          <idx val="4"/>
          <order val="4"/>
          <tx>
            <strRef>
              <f>'Charts'!B107</f>
            </strRef>
          </tx>
          <spPr>
            <a:solidFill xmlns:a="http://schemas.openxmlformats.org/drawingml/2006/main">
              <a:srgbClr val="C9D1D6"/>
            </a:solidFill>
            <a:ln xmlns:a="http://schemas.openxmlformats.org/drawingml/2006/main">
              <a:solidFill>
                <a:srgbClr val="C9D1D6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'Charts'!$C$107:$D$107</f>
            </numRef>
          </val>
        </ser>
        <ser>
          <idx val="5"/>
          <order val="5"/>
          <tx>
            <strRef>
              <f>'Charts'!B108</f>
            </strRef>
          </tx>
          <spPr>
            <a:solidFill xmlns:a="http://schemas.openxmlformats.org/drawingml/2006/main">
              <a:srgbClr val="9CC3D5"/>
            </a:solidFill>
            <a:ln xmlns:a="http://schemas.openxmlformats.org/drawingml/2006/main">
              <a:solidFill>
                <a:srgbClr val="9CC3D5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'Charts'!$C$108:$D$108</f>
            </numRef>
          </val>
        </ser>
        <ser>
          <idx val="6"/>
          <order val="6"/>
          <tx>
            <strRef>
              <f>'Charts'!B109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'Charts'!$C$109:$D$109</f>
            </numRef>
          </val>
        </ser>
        <ser>
          <idx val="7"/>
          <order val="7"/>
          <tx>
            <strRef>
              <f>'Charts'!B110</f>
            </strRef>
          </tx>
          <spPr>
            <a:solidFill xmlns:a="http://schemas.openxmlformats.org/drawingml/2006/main">
              <a:srgbClr val="5B8FA8"/>
            </a:solidFill>
            <a:ln xmlns:a="http://schemas.openxmlformats.org/drawingml/2006/main">
              <a:solidFill>
                <a:srgbClr val="5B8FA8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'Charts'!$C$110:$D$110</f>
            </numRef>
          </val>
        </ser>
        <ser>
          <idx val="8"/>
          <order val="8"/>
          <tx>
            <strRef>
              <f>'Charts'!B111</f>
            </strRef>
          </tx>
          <spPr>
            <a:solidFill xmlns:a="http://schemas.openxmlformats.org/drawingml/2006/main">
              <a:srgbClr val="8FB8CC"/>
            </a:solidFill>
            <a:ln xmlns:a="http://schemas.openxmlformats.org/drawingml/2006/main">
              <a:solidFill>
                <a:srgbClr val="8FB8CC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'Charts'!$C$111:$D$111</f>
            </numRef>
          </val>
        </ser>
        <ser>
          <idx val="9"/>
          <order val="9"/>
          <tx>
            <strRef>
              <f>'Charts'!B112</f>
            </strRef>
          </tx>
          <spPr>
            <a:solidFill xmlns:a="http://schemas.openxmlformats.org/drawingml/2006/main">
              <a:srgbClr val="D9A07E"/>
            </a:solidFill>
            <a:ln xmlns:a="http://schemas.openxmlformats.org/drawingml/2006/main">
              <a:solidFill>
                <a:srgbClr val="D9A07E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'Charts'!$C$112:$D$112</f>
            </numRef>
          </val>
        </ser>
        <ser>
          <idx val="10"/>
          <order val="10"/>
          <tx>
            <strRef>
              <f>'Charts'!B113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'Charts'!$C$113:$D$113</f>
            </numRef>
          </val>
        </ser>
        <ser>
          <idx val="11"/>
          <order val="11"/>
          <tx>
            <strRef>
              <f>'Charts'!B114</f>
            </strRef>
          </tx>
          <spPr>
            <a:solidFill xmlns:a="http://schemas.openxmlformats.org/drawingml/2006/main">
              <a:srgbClr val="8E9F5E"/>
            </a:solidFill>
            <a:ln xmlns:a="http://schemas.openxmlformats.org/drawingml/2006/main">
              <a:solidFill>
                <a:srgbClr val="8E9F5E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'Charts'!$C$114:$D$114</f>
            </numRef>
          </val>
        </ser>
        <ser>
          <idx val="12"/>
          <order val="12"/>
          <tx>
            <strRef>
              <f>'Charts'!B115</f>
            </strRef>
          </tx>
          <spPr>
            <a:solidFill xmlns:a="http://schemas.openxmlformats.org/drawingml/2006/main">
              <a:srgbClr val="B3C08A"/>
            </a:solidFill>
            <a:ln xmlns:a="http://schemas.openxmlformats.org/drawingml/2006/main">
              <a:solidFill>
                <a:srgbClr val="B3C08A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'Charts'!$C$115:$D$115</f>
            </numRef>
          </val>
        </ser>
        <ser>
          <idx val="13"/>
          <order val="13"/>
          <tx>
            <strRef>
              <f>'Charts'!B116</f>
            </strRef>
          </tx>
          <spPr>
            <a:solidFill xmlns:a="http://schemas.openxmlformats.org/drawingml/2006/main">
              <a:srgbClr val="D4AF37"/>
            </a:solidFill>
            <a:ln xmlns:a="http://schemas.openxmlformats.org/drawingml/2006/main">
              <a:solidFill>
                <a:srgbClr val="D4AF37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'Charts'!$C$116:$D$116</f>
            </numRef>
          </val>
        </ser>
        <ser>
          <idx val="14"/>
          <order val="14"/>
          <tx>
            <strRef>
              <f>'Charts'!B117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'Charts'!$C$117:$D$117</f>
            </numRef>
          </val>
        </ser>
        <ser>
          <idx val="15"/>
          <order val="15"/>
          <tx>
            <strRef>
              <f>'Charts'!B118</f>
            </strRef>
          </tx>
          <spPr>
            <a:solidFill xmlns:a="http://schemas.openxmlformats.org/drawingml/2006/main">
              <a:srgbClr val="E06C55"/>
            </a:solidFill>
            <a:ln xmlns:a="http://schemas.openxmlformats.org/drawingml/2006/main">
              <a:solidFill>
                <a:srgbClr val="E06C55"/>
              </a:solidFill>
              <a:prstDash val="solid"/>
            </a:ln>
          </spPr>
          <cat>
            <numRef>
              <f>'Charts'!$C$102:$D$102</f>
            </numRef>
          </cat>
          <val>
            <numRef>
              <f>'Charts'!$C$118:$D$118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development cost per unit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'Charts'!B125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'Charts'!$C$124:$E$124</f>
            </numRef>
          </cat>
          <val>
            <numRef>
              <f>'Charts'!$C$125:$E$125</f>
            </numRef>
          </val>
        </ser>
        <ser>
          <idx val="1"/>
          <order val="1"/>
          <tx>
            <strRef>
              <f>'Charts'!B126</f>
            </strRef>
          </tx>
          <spPr>
            <a:solidFill xmlns:a="http://schemas.openxmlformats.org/drawingml/2006/main">
              <a:srgbClr val="A9B4BA"/>
            </a:solidFill>
            <a:ln xmlns:a="http://schemas.openxmlformats.org/drawingml/2006/main">
              <a:solidFill>
                <a:srgbClr val="A9B4BA"/>
              </a:solidFill>
              <a:prstDash val="solid"/>
            </a:ln>
          </spPr>
          <cat>
            <numRef>
              <f>'Charts'!$C$124:$E$124</f>
            </numRef>
          </cat>
          <val>
            <numRef>
              <f>'Charts'!$C$126:$E$126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Hartford: how far the programs could go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'Charts'!C146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'Charts'!$B$147:$B$156</f>
            </numRef>
          </cat>
          <val>
            <numRef>
              <f>'Charts'!$C$147:$C$156</f>
            </numRef>
          </val>
        </ser>
        <ser>
          <idx val="1"/>
          <order val="1"/>
          <tx>
            <strRef>
              <f>'Charts'!D146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'Charts'!$B$147:$B$156</f>
            </numRef>
          </cat>
          <val>
            <numRef>
              <f>'Charts'!$D$147:$D$156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 Haven: how far the programs could go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'Charts'!C167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'Charts'!$B$168:$B$177</f>
            </numRef>
          </cat>
          <val>
            <numRef>
              <f>'Charts'!$C$168:$C$177</f>
            </numRef>
          </val>
        </ser>
        <ser>
          <idx val="1"/>
          <order val="1"/>
          <tx>
            <strRef>
              <f>'Charts'!D167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'Charts'!$B$168:$B$177</f>
            </numRef>
          </cat>
          <val>
            <numRef>
              <f>'Charts'!$D$168:$D$177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Waterbury: how far the programs could go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'Charts'!C188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'Charts'!$B$189:$B$198</f>
            </numRef>
          </cat>
          <val>
            <numRef>
              <f>'Charts'!$C$189:$C$198</f>
            </numRef>
          </val>
        </ser>
        <ser>
          <idx val="1"/>
          <order val="1"/>
          <tx>
            <strRef>
              <f>'Charts'!D188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'Charts'!$B$189:$B$198</f>
            </numRef>
          </cat>
          <val>
            <numRef>
              <f>'Charts'!$D$189:$D$198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Homeownership and local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'Charts'!C209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'Charts'!$B$210:$B$211</f>
            </numRef>
          </cat>
          <val>
            <numRef>
              <f>'Charts'!$C$210:$C$211</f>
            </numRef>
          </val>
        </ser>
        <ser>
          <idx val="1"/>
          <order val="1"/>
          <tx>
            <strRef>
              <f>'Charts'!D209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'Charts'!$B$210:$B$211</f>
            </numRef>
          </cat>
          <val>
            <numRef>
              <f>'Charts'!$D$210:$D$211</f>
            </numRef>
          </val>
        </ser>
        <ser>
          <idx val="2"/>
          <order val="2"/>
          <tx>
            <strRef>
              <f>'Charts'!E209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'Charts'!$B$210:$B$211</f>
            </numRef>
          </cat>
          <val>
            <numRef>
              <f>'Charts'!$E$210:$E$211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Household income vs. AMI targets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'Charts'!C224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'Charts'!$B$225:$B$227</f>
            </numRef>
          </cat>
          <val>
            <numRef>
              <f>'Charts'!$C$225:$C$227</f>
            </numRef>
          </val>
        </ser>
        <ser>
          <idx val="1"/>
          <order val="1"/>
          <tx>
            <strRef>
              <f>'Charts'!D224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'Charts'!$B$225:$B$227</f>
            </numRef>
          </cat>
          <val>
            <numRef>
              <f>'Charts'!$D$225:$D$227</f>
            </numRef>
          </val>
        </ser>
        <ser>
          <idx val="2"/>
          <order val="2"/>
          <tx>
            <strRef>
              <f>'Charts'!E224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'Charts'!$B$225:$B$227</f>
            </numRef>
          </cat>
          <val>
            <numRef>
              <f>'Charts'!$E$225:$E$227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Asking rent vs. 60% AMI limit (monthly)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'Charts'!C239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'Charts'!$B$240:$B$243</f>
            </numRef>
          </cat>
          <val>
            <numRef>
              <f>'Charts'!$C$240:$C$243</f>
            </numRef>
          </val>
        </ser>
        <ser>
          <idx val="1"/>
          <order val="1"/>
          <tx>
            <strRef>
              <f>'Charts'!D239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'Charts'!$B$240:$B$243</f>
            </numRef>
          </cat>
          <val>
            <numRef>
              <f>'Charts'!$D$240:$D$243</f>
            </numRef>
          </val>
        </ser>
        <ser>
          <idx val="2"/>
          <order val="2"/>
          <tx>
            <strRef>
              <f>'Charts'!E239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'Charts'!$B$240:$B$243</f>
            </numRef>
          </cat>
          <val>
            <numRef>
              <f>'Charts'!$E$240:$E$243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Home prices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'Charts'!C254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'Charts'!$B$255:$B$256</f>
            </numRef>
          </cat>
          <val>
            <numRef>
              <f>'Charts'!$C$255:$C$256</f>
            </numRef>
          </val>
        </ser>
        <ser>
          <idx val="1"/>
          <order val="1"/>
          <tx>
            <strRef>
              <f>'Charts'!D254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'Charts'!$B$255:$B$256</f>
            </numRef>
          </cat>
          <val>
            <numRef>
              <f>'Charts'!$D$255:$D$256</f>
            </numRef>
          </val>
        </ser>
        <ser>
          <idx val="2"/>
          <order val="2"/>
          <tx>
            <strRef>
              <f>'Charts'!E254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'Charts'!$B$255:$B$256</f>
            </numRef>
          </cat>
          <val>
            <numRef>
              <f>'Charts'!$E$255:$E$256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'Charts'!C269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'Charts'!$B$270:$B$271</f>
            </numRef>
          </cat>
          <val>
            <numRef>
              <f>'Charts'!$C$270:$C$271</f>
            </numRef>
          </val>
        </ser>
        <ser>
          <idx val="1"/>
          <order val="1"/>
          <tx>
            <strRef>
              <f>'Charts'!D269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'Charts'!$B$270:$B$271</f>
            </numRef>
          </cat>
          <val>
            <numRef>
              <f>'Charts'!$D$270:$D$271</f>
            </numRef>
          </val>
        </ser>
        <ser>
          <idx val="2"/>
          <order val="2"/>
          <tx>
            <strRef>
              <f>'Charts'!E269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'Charts'!$B$270:$B$271</f>
            </numRef>
          </cat>
          <val>
            <numRef>
              <f>'Charts'!$E$270:$E$271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Residents by race and ethnicity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'Charts'!C284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'Charts'!$B$285:$B$287</f>
            </numRef>
          </cat>
          <val>
            <numRef>
              <f>'Charts'!$C$285:$C$287</f>
            </numRef>
          </val>
        </ser>
        <ser>
          <idx val="1"/>
          <order val="1"/>
          <tx>
            <strRef>
              <f>'Charts'!D284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'Charts'!$B$285:$B$287</f>
            </numRef>
          </cat>
          <val>
            <numRef>
              <f>'Charts'!$D$285:$D$287</f>
            </numRef>
          </val>
        </ser>
        <ser>
          <idx val="2"/>
          <order val="2"/>
          <tx>
            <strRef>
              <f>'Charts'!E284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'Charts'!$B$285:$B$287</f>
            </numRef>
          </cat>
          <val>
            <numRef>
              <f>'Charts'!$E$285:$E$287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Household income as % of AMI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'Charts'!C300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'Charts'!$B$301:$B$304</f>
            </numRef>
          </cat>
          <val>
            <numRef>
              <f>'Charts'!$C$301:$C$304</f>
            </numRef>
          </val>
        </ser>
        <ser>
          <idx val="1"/>
          <order val="1"/>
          <tx>
            <strRef>
              <f>'Charts'!D300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'Charts'!$B$301:$B$304</f>
            </numRef>
          </cat>
          <val>
            <numRef>
              <f>'Charts'!$D$301:$D$304</f>
            </numRef>
          </val>
        </ser>
        <ser>
          <idx val="2"/>
          <order val="2"/>
          <tx>
            <strRef>
              <f>'Charts'!E300</f>
            </strRef>
          </tx>
          <spPr>
            <a:solidFill xmlns:a="http://schemas.openxmlformats.org/drawingml/2006/main">
              <a:srgbClr val="6B7F3A"/>
            </a:solidFill>
            <a:ln xmlns:a="http://schemas.openxmlformats.org/drawingml/2006/main">
              <a:solidFill>
                <a:srgbClr val="6B7F3A"/>
              </a:solidFill>
              <a:prstDash val="solid"/>
            </a:ln>
          </spPr>
          <cat>
            <numRef>
              <f>'Charts'!$B$301:$B$304</f>
            </numRef>
          </cat>
          <val>
            <numRef>
              <f>'Charts'!$E$301:$E$304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 building: buyer pays vs. subsidy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'Charts'!B321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'Charts'!$C$320:$E$320</f>
            </numRef>
          </cat>
          <val>
            <numRef>
              <f>'Charts'!$C$321:$E$321</f>
            </numRef>
          </val>
        </ser>
        <ser>
          <idx val="1"/>
          <order val="1"/>
          <tx>
            <strRef>
              <f>'Charts'!B322</f>
            </strRef>
          </tx>
          <spPr>
            <a:solidFill xmlns:a="http://schemas.openxmlformats.org/drawingml/2006/main">
              <a:srgbClr val="B5452F"/>
            </a:solidFill>
            <a:ln xmlns:a="http://schemas.openxmlformats.org/drawingml/2006/main">
              <a:solidFill>
                <a:srgbClr val="B5452F"/>
              </a:solidFill>
              <a:prstDash val="solid"/>
            </a:ln>
          </spPr>
          <cat>
            <numRef>
              <f>'Charts'!$C$320:$E$320</f>
            </numRef>
          </cat>
          <val>
            <numRef>
              <f>'Charts'!$C$322:$E$322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Focus city: sources (caps, not awards)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'Charts'!C338</f>
            </strRef>
          </tx>
          <spPr>
            <a:solidFill xmlns:a="http://schemas.openxmlformats.org/drawingml/2006/main">
              <a:srgbClr val="2C6A8A"/>
            </a:solidFill>
            <a:ln xmlns:a="http://schemas.openxmlformats.org/drawingml/2006/main">
              <a:solidFill>
                <a:srgbClr val="2C6A8A"/>
              </a:solidFill>
              <a:prstDash val="solid"/>
            </a:ln>
          </spPr>
          <cat>
            <numRef>
              <f>'Charts'!$B$339:$B$346</f>
            </numRef>
          </cat>
          <val>
            <numRef>
              <f>'Charts'!$C$339:$C$346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37</row>
      <rowOff>0</rowOff>
    </from>
    <ext cx="72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56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78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100</row>
      <rowOff>0</rowOff>
    </from>
    <ext cx="504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122</row>
      <rowOff>0</rowOff>
    </from>
    <ext cx="504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5</col>
      <colOff>0</colOff>
      <row>144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165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5</col>
      <colOff>0</colOff>
      <row>186</row>
      <rowOff>0</rowOff>
    </from>
    <ext cx="576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6</col>
      <colOff>0</colOff>
      <row>208</row>
      <rowOff>0</rowOff>
    </from>
    <ext cx="468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6</col>
      <colOff>0</colOff>
      <row>223</row>
      <rowOff>0</rowOff>
    </from>
    <ext cx="468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6</col>
      <colOff>0</colOff>
      <row>238</row>
      <rowOff>0</rowOff>
    </from>
    <ext cx="468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6</col>
      <colOff>0</colOff>
      <row>253</row>
      <rowOff>0</rowOff>
    </from>
    <ext cx="4680000" cy="252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6</col>
      <colOff>0</colOff>
      <row>268</row>
      <rowOff>0</rowOff>
    </from>
    <ext cx="4680000" cy="25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6</col>
      <colOff>0</colOff>
      <row>283</row>
      <rowOff>0</rowOff>
    </from>
    <ext cx="4680000" cy="252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6</col>
      <colOff>0</colOff>
      <row>298</row>
      <rowOff>0</rowOff>
    </from>
    <ext cx="504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</col>
      <colOff>0</colOff>
      <row>318</row>
      <rowOff>0</rowOff>
    </from>
    <ext cx="468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6</col>
      <colOff>0</colOff>
      <row>336</row>
      <rowOff>0</rowOff>
    </from>
    <ext cx="504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0" customWidth="1" min="2" max="2"/>
  </cols>
  <sheetData>
    <row r="2">
      <c r="B2" s="1" t="inlineStr">
        <is>
          <t>HOUSING CT, PREFAB MODULAR TEAM: city models and deck charts</t>
        </is>
      </c>
    </row>
    <row r="3">
      <c r="B3" s="2" t="inlineStr"/>
    </row>
    <row r="4">
      <c r="B4" s="2" t="inlineStr"/>
    </row>
    <row r="6">
      <c r="B6" s="3" t="inlineStr"/>
    </row>
    <row r="7">
      <c r="B7" s="4" t="inlineStr">
        <is>
          <t>TABS</t>
        </is>
      </c>
    </row>
    <row r="8">
      <c r="B8" s="3" t="inlineStr">
        <is>
          <t>Inputs Snapshot: every explorer input as it was set at export, for each city, with its status (sourced, placeholder, team choice) and note.</t>
        </is>
      </c>
    </row>
    <row r="9">
      <c r="B9" s="3" t="inlineStr">
        <is>
          <t>Hartford / New Haven / Waterbury: one building per city. Sections: 1 scenario, 2 city data, 3 key assumptions, 4 calculations (cost, rent, buyer capacity),</t>
        </is>
      </c>
    </row>
    <row r="10">
      <c r="B10" s="3" t="inlineStr">
        <is>
          <t xml:space="preserve">   5 results incl. both gaps, the funding stack and the owner's net monthly cost, 6 uses vs. sources, 7 funding waterfall, 8 owner-income sensitivity, 9 building size, 10 what moves the remaining gap.</t>
        </is>
      </c>
    </row>
    <row r="11">
      <c r="B11" s="3" t="inlineStr">
        <is>
          <t>Compare: the three cities side by side (linked to the city tabs).</t>
        </is>
      </c>
    </row>
    <row r="12">
      <c r="B12" s="3" t="inlineStr">
        <is>
          <t>Market Data: renter households by income band and the city profiles; rows the explorer controls (AMI, rents, sales, rent limit) come from the export.</t>
        </is>
      </c>
    </row>
    <row r="13">
      <c r="B13" s="3" t="inlineStr">
        <is>
          <t>Charts: the deck charts as native Excel charts, fed by data blocks linked to the other tabs.</t>
        </is>
      </c>
    </row>
    <row r="14">
      <c r="B14" s="3" t="inlineStr"/>
    </row>
    <row r="15">
      <c r="B15" s="4" t="inlineStr">
        <is>
          <t>WHERE THE NUMBERS COME FROM</t>
        </is>
      </c>
    </row>
    <row r="16">
      <c r="B16" s="3" t="inlineStr">
        <is>
          <t>Every result is calculated by Prefab Gap Explorer 2 with the inputs set the way they were at export, including any city-only overrides. The Compare and Charts tabs link to the city tabs.</t>
        </is>
      </c>
    </row>
    <row r="17">
      <c r="B17" s="3" t="inlineStr">
        <is>
          <t>This workbook is a presentation snapshot: the city tabs hold values, not formulas. For the fully live model with every formula, use 'Download Excel model' in the explorer's Export dialog.</t>
        </is>
      </c>
    </row>
    <row r="18">
      <c r="B18" s="3" t="inlineStr"/>
    </row>
    <row r="19">
      <c r="B19" s="4" t="inlineStr">
        <is>
          <t>HOW THE MODEL WORKS</t>
        </is>
      </c>
    </row>
    <row r="20">
      <c r="B20" s="3" t="inlineStr">
        <is>
          <t>1. Cost: modular factory + field cost per gross sq ft (falling with order volume), transport, site work, contingency, soft costs, construction loan, carry, land and the developer fee give the total development cost (TDC).</t>
        </is>
      </c>
    </row>
    <row r="21">
      <c r="B21" s="3" t="inlineStr">
        <is>
          <t>2. Rent: the rental unit charges the lower of the AMI rent (rent + utilities at the set share of a renter household's income, less the utility allowance) and market asking rent.</t>
        </is>
      </c>
    </row>
    <row r="22">
      <c r="B22" s="3" t="inlineStr">
        <is>
          <t>3. Buyer: the lower of the lender test (40% of own income + 75% of rent) and the owner test (30% of own income + rent collected), after tax, insurance, utilities and reserves, plus CHFA Time To Own.</t>
        </is>
      </c>
    </row>
    <row r="23">
      <c r="B23" s="3" t="inlineStr">
        <is>
          <t>4. Appraisal: the base case is a size-adjusted new-build value; the sales gap (appraisal − what the buyer can pay) is a DOH homebuyer subsidy, and the developer gap (TDC − sale proceeds) is filled by HDF, AHP, HTCC, NMTC (if on) and DOH.</t>
        </is>
      </c>
    </row>
    <row r="24">
      <c r="B24" s="3" t="inlineStr">
        <is>
          <t>5. Program amounts are caps and precedents, not awards. Whether the programs can fund the same home is for the law team to confirm.</t>
        </is>
      </c>
    </row>
    <row r="25">
      <c r="B25" s="3" t="inlineStr"/>
    </row>
    <row r="26">
      <c r="B26" s="4" t="inlineStr">
        <is>
          <t>CHANGES FROM THE EXPLORER DEFAULTS</t>
        </is>
      </c>
    </row>
    <row r="27">
      <c r="B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4" customWidth="1" min="3" max="3"/>
    <col width="18" customWidth="1" min="4" max="4"/>
    <col width="18" customWidth="1" min="5" max="5"/>
    <col width="18" customWidth="1" min="6" max="6"/>
    <col width="16" customWidth="1" min="7" max="7"/>
    <col width="110" customWidth="1" min="8" max="8"/>
  </cols>
  <sheetData>
    <row r="2">
      <c r="B2" s="1" t="inlineStr">
        <is>
          <t>INPUTS SNAPSHOT: every explorer input at export</t>
        </is>
      </c>
    </row>
    <row r="3">
      <c r="B3" s="5" t="inlineStr">
        <is>
          <t>Values shown as the explorer formats them. "City only" marks a value set for one city.</t>
        </is>
      </c>
    </row>
    <row r="5">
      <c r="B5" s="6" t="inlineStr">
        <is>
          <t>Input</t>
        </is>
      </c>
      <c r="C5" s="6" t="inlineStr">
        <is>
          <t>Group</t>
        </is>
      </c>
      <c r="D5" s="6" t="inlineStr">
        <is>
          <t>Hartford</t>
        </is>
      </c>
      <c r="E5" s="6" t="inlineStr">
        <is>
          <t>New Haven</t>
        </is>
      </c>
      <c r="F5" s="6" t="inlineStr">
        <is>
          <t>Waterbury</t>
        </is>
      </c>
      <c r="G5" s="6" t="inlineStr">
        <is>
          <t>Status</t>
        </is>
      </c>
      <c r="H5" s="6" t="inlineStr">
        <is>
          <t>Note</t>
        </is>
      </c>
    </row>
    <row r="6">
      <c r="B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2">
      <c r="B2" s="1" t="inlineStr">
        <is>
          <t>HARTFORD: one building, prefab modular</t>
        </is>
      </c>
    </row>
    <row r="3">
      <c r="B3" s="2" t="inlineStr"/>
    </row>
    <row r="5">
      <c r="B5" s="6" t="inlineStr">
        <is>
          <t>1. SCENARIO</t>
        </is>
      </c>
      <c r="C5" s="7" t="n"/>
      <c r="D5" s="7" t="n"/>
      <c r="E5" s="7" t="n"/>
      <c r="F5" s="7" t="n"/>
      <c r="G5" s="7" t="n"/>
      <c r="H5" s="7" t="n"/>
      <c r="I5" s="7" t="n"/>
    </row>
    <row r="6">
      <c r="B6" s="3" t="inlineStr">
        <is>
          <t>City</t>
        </is>
      </c>
      <c r="C6" s="8" t="inlineStr"/>
    </row>
    <row r="7">
      <c r="B7" s="3" t="inlineStr">
        <is>
          <t>Building design</t>
        </is>
      </c>
      <c r="C7" s="8" t="inlineStr"/>
    </row>
    <row r="8">
      <c r="B8" s="3" t="inlineStr">
        <is>
          <t>Total units in the building</t>
        </is>
      </c>
      <c r="C8" s="9" t="n">
        <v>0</v>
      </c>
    </row>
    <row r="9">
      <c r="B9" s="3" t="inlineStr">
        <is>
          <t>Owner unit bedrooms</t>
        </is>
      </c>
      <c r="C9" s="8" t="inlineStr"/>
    </row>
    <row r="10">
      <c r="B10" s="3" t="inlineStr">
        <is>
          <t>Rental unit bedrooms</t>
        </is>
      </c>
      <c r="C10" s="8" t="inlineStr"/>
    </row>
    <row r="11">
      <c r="B11" s="3" t="inlineStr">
        <is>
          <t>Owner household income target</t>
        </is>
      </c>
      <c r="C11" s="10" t="n">
        <v>0</v>
      </c>
      <c r="E11" s="5" t="inlineStr">
        <is>
          <t>% of AMI</t>
        </is>
      </c>
    </row>
    <row r="12">
      <c r="B12" s="3" t="inlineStr">
        <is>
          <t>Owner household size</t>
        </is>
      </c>
      <c r="C12" s="9" t="n">
        <v>0</v>
      </c>
    </row>
    <row r="13">
      <c r="B13" s="3" t="inlineStr">
        <is>
          <t>Rental unit rent target</t>
        </is>
      </c>
      <c r="C13" s="10" t="n">
        <v>0</v>
      </c>
      <c r="E13" s="5" t="inlineStr">
        <is>
          <t>% of AMI; 0% = market rent</t>
        </is>
      </c>
    </row>
    <row r="14">
      <c r="B14" s="3" t="inlineStr">
        <is>
          <t>Cap the AMI rent at market rent?</t>
        </is>
      </c>
      <c r="C14" s="8" t="inlineStr"/>
    </row>
    <row r="15">
      <c r="B15" s="3" t="inlineStr">
        <is>
          <t>Construction method</t>
        </is>
      </c>
      <c r="C15" s="8" t="inlineStr"/>
    </row>
    <row r="16">
      <c r="B16" s="3" t="inlineStr">
        <is>
          <t>Order volume (buildings ordered together)</t>
        </is>
      </c>
      <c r="C16" s="9" t="n">
        <v>0</v>
      </c>
    </row>
    <row r="17">
      <c r="B17" s="3" t="inlineStr">
        <is>
          <t>Appraisal basis</t>
        </is>
      </c>
      <c r="C17" s="8" t="inlineStr"/>
    </row>
    <row r="18">
      <c r="B18" s="3" t="inlineStr">
        <is>
          <t>Property tax assessed on</t>
        </is>
      </c>
      <c r="C18" s="8" t="inlineStr"/>
    </row>
    <row r="20">
      <c r="B20" s="6" t="inlineStr">
        <is>
          <t>2. CITY DATA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B21" s="3" t="inlineStr">
        <is>
          <t>HUD 50% income limit, 4-person</t>
        </is>
      </c>
      <c r="C21" s="11" t="n">
        <v>0</v>
      </c>
      <c r="E21" s="5" t="inlineStr">
        <is>
          <t>HUD FY2026 Section 8 limits</t>
        </is>
      </c>
    </row>
    <row r="22">
      <c r="B22" s="3" t="inlineStr">
        <is>
          <t>100% AMI used in the model (2 x 50% limit)</t>
        </is>
      </c>
      <c r="C22" s="11" t="n">
        <v>0</v>
      </c>
    </row>
    <row r="23">
      <c r="B23" s="5" t="inlineStr">
        <is>
          <t>Bedrooms</t>
        </is>
      </c>
      <c r="C23" s="12" t="inlineStr">
        <is>
          <t>Studio</t>
        </is>
      </c>
      <c r="D23" s="12" t="inlineStr">
        <is>
          <t>1BR</t>
        </is>
      </c>
      <c r="E23" s="12" t="inlineStr">
        <is>
          <t>2BR</t>
        </is>
      </c>
      <c r="F23" s="12" t="inlineStr">
        <is>
          <t>3BR</t>
        </is>
      </c>
      <c r="G23" s="12" t="inlineStr">
        <is>
          <t>4BR</t>
        </is>
      </c>
    </row>
    <row r="24">
      <c r="B24" s="3" t="inlineStr">
        <is>
          <t>Market asking rent by bedroom count ($ per month)</t>
        </is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</row>
    <row r="25">
      <c r="B25" s="5" t="inlineStr">
        <is>
          <t>Building size</t>
        </is>
      </c>
      <c r="C25" s="12" t="inlineStr">
        <is>
          <t>2-unit</t>
        </is>
      </c>
      <c r="D25" s="12" t="inlineStr">
        <is>
          <t>3-unit</t>
        </is>
      </c>
      <c r="E25" s="12" t="inlineStr">
        <is>
          <t>4-6 unit</t>
        </is>
      </c>
    </row>
    <row r="26">
      <c r="B26" s="3" t="inlineStr">
        <is>
          <t>Median sale, existing buildings (CT CAMA 2023-26)</t>
        </is>
      </c>
      <c r="C26" s="11" t="n">
        <v>0</v>
      </c>
      <c r="D26" s="11" t="n">
        <v>0</v>
      </c>
      <c r="E26" s="11" t="n">
        <v>0</v>
      </c>
    </row>
    <row r="27">
      <c r="B27" s="3" t="inlineStr">
        <is>
          <t>Size-adjusted new-build value (base case)</t>
        </is>
      </c>
      <c r="C27" s="11" t="n">
        <v>0</v>
      </c>
    </row>
    <row r="28">
      <c r="B28" s="3" t="inlineStr">
        <is>
          <t>DOH new-build precedent</t>
        </is>
      </c>
      <c r="C28" s="11" t="n">
        <v>0</v>
      </c>
    </row>
    <row r="29">
      <c r="B29" s="3" t="inlineStr">
        <is>
          <t>Assessment ratio used</t>
        </is>
      </c>
      <c r="C29" s="13" t="n">
        <v>0</v>
      </c>
    </row>
    <row r="30">
      <c r="B30" s="3" t="inlineStr">
        <is>
          <t>Mill rate</t>
        </is>
      </c>
      <c r="C30" s="14" t="n">
        <v>0</v>
      </c>
      <c r="E30" s="5" t="inlineStr">
        <is>
          <t>$ per $1,000 assessed</t>
        </is>
      </c>
    </row>
    <row r="31">
      <c r="B31" s="3" t="inlineStr">
        <is>
          <t>Effective property tax rate</t>
        </is>
      </c>
      <c r="C31" s="13" t="n">
        <v>0</v>
      </c>
    </row>
    <row r="32">
      <c r="B32" s="3" t="inlineStr">
        <is>
          <t>Homeowner insurance ($ per unit per year)</t>
        </is>
      </c>
      <c r="C32" s="11" t="n">
        <v>0</v>
      </c>
    </row>
    <row r="33">
      <c r="B33" s="3" t="inlineStr">
        <is>
          <t>Land acquisition and closing ($ per building)</t>
        </is>
      </c>
      <c r="C33" s="11" t="n">
        <v>0</v>
      </c>
    </row>
    <row r="35">
      <c r="B35" s="6" t="inlineStr">
        <is>
          <t>3. KEY ASSUMPTIONS (full list on Inputs Snapshot)</t>
        </is>
      </c>
      <c r="C35" s="7" t="n"/>
      <c r="D35" s="7" t="n"/>
      <c r="E35" s="7" t="n"/>
      <c r="F35" s="7" t="n"/>
      <c r="G35" s="7" t="n"/>
      <c r="H35" s="7" t="n"/>
      <c r="I35" s="7" t="n"/>
    </row>
    <row r="36">
      <c r="B36" s="3" t="inlineStr">
        <is>
          <t>Mortgage rate</t>
        </is>
      </c>
      <c r="C36" s="13" t="n">
        <v>0</v>
      </c>
    </row>
    <row r="37">
      <c r="B37" s="3" t="inlineStr">
        <is>
          <t>Mortgage term (years)</t>
        </is>
      </c>
      <c r="C37" s="9" t="n">
        <v>0</v>
      </c>
    </row>
    <row r="38">
      <c r="B38" s="3" t="inlineStr">
        <is>
          <t>Down payment</t>
        </is>
      </c>
      <c r="C38" s="13" t="n">
        <v>0</v>
      </c>
    </row>
    <row r="39">
      <c r="B39" s="3" t="inlineStr">
        <is>
          <t>FHA mortgage insurance (annual)</t>
        </is>
      </c>
      <c r="C39" s="13" t="n">
        <v>0</v>
      </c>
    </row>
    <row r="40">
      <c r="B40" s="3" t="inlineStr">
        <is>
          <t>Lender credit on rental income</t>
        </is>
      </c>
      <c r="C40" s="10" t="n">
        <v>0</v>
      </c>
    </row>
    <row r="41">
      <c r="B41" s="3" t="inlineStr">
        <is>
          <t>Lender test cap, % of qualifying income</t>
        </is>
      </c>
      <c r="C41" s="10" t="n">
        <v>0</v>
      </c>
    </row>
    <row r="42">
      <c r="B42" s="3" t="inlineStr">
        <is>
          <t>Owner test cap, % of own income</t>
        </is>
      </c>
      <c r="C42" s="10" t="n">
        <v>0</v>
      </c>
    </row>
    <row r="43">
      <c r="B43" s="3" t="inlineStr">
        <is>
          <t>Rent + utilities as % of renter income</t>
        </is>
      </c>
      <c r="C43" s="13" t="n">
        <v>0</v>
      </c>
    </row>
    <row r="44">
      <c r="B44" s="3" t="inlineStr">
        <is>
          <t>Tenant utility allowance (rental unit)</t>
        </is>
      </c>
      <c r="C44" s="11" t="n">
        <v>0</v>
      </c>
    </row>
    <row r="45">
      <c r="B45" s="3" t="inlineStr">
        <is>
          <t>Vacancy and collection loss</t>
        </is>
      </c>
      <c r="C45" s="13" t="n">
        <v>0</v>
      </c>
    </row>
    <row r="46">
      <c r="B46" s="3" t="inlineStr">
        <is>
          <t>Maintenance and reserve (% of value per year)</t>
        </is>
      </c>
      <c r="C46" s="13" t="n">
        <v>0</v>
      </c>
    </row>
    <row r="47">
      <c r="B47" s="3" t="inlineStr">
        <is>
          <t>Owner energy bills ($ per month)</t>
        </is>
      </c>
      <c r="C47" s="11" t="n">
        <v>0</v>
      </c>
    </row>
    <row r="48">
      <c r="B48" s="3" t="inlineStr">
        <is>
          <t>Owner-paid common utilities ($ per unit per month)</t>
        </is>
      </c>
      <c r="C48" s="11" t="n">
        <v>0</v>
      </c>
    </row>
    <row r="49">
      <c r="B49" s="3" t="inlineStr">
        <is>
          <t>Gross-up (net to gross sq ft)</t>
        </is>
      </c>
      <c r="C49" s="14" t="n">
        <v>0</v>
      </c>
    </row>
    <row r="50">
      <c r="B50" s="3" t="inlineStr">
        <is>
          <t>Hard-cost contingency</t>
        </is>
      </c>
      <c r="C50" s="13" t="n">
        <v>0</v>
      </c>
    </row>
    <row r="51">
      <c r="B51" s="3" t="inlineStr">
        <is>
          <t>Soft-cost contingency</t>
        </is>
      </c>
      <c r="C51" s="13" t="n">
        <v>0</v>
      </c>
    </row>
    <row r="52">
      <c r="B52" s="3" t="inlineStr">
        <is>
          <t>Construction loan rate</t>
        </is>
      </c>
      <c r="C52" s="13" t="n">
        <v>0</v>
      </c>
    </row>
    <row r="53">
      <c r="B53" s="3" t="inlineStr">
        <is>
          <t>Developer fee (% of cost)</t>
        </is>
      </c>
      <c r="C53" s="13" t="n">
        <v>0</v>
      </c>
    </row>
    <row r="55">
      <c r="B55" s="6" t="inlineStr">
        <is>
          <t>4. CALCULATIONS</t>
        </is>
      </c>
      <c r="C55" s="7" t="n"/>
      <c r="D55" s="7" t="n"/>
      <c r="E55" s="7" t="n"/>
      <c r="F55" s="7" t="n"/>
      <c r="G55" s="7" t="n"/>
      <c r="H55" s="7" t="n"/>
      <c r="I55" s="7" t="n"/>
    </row>
    <row r="56">
      <c r="B56" s="4" t="inlineStr">
        <is>
          <t>Building and development cost</t>
        </is>
      </c>
    </row>
    <row r="57">
      <c r="B57" s="3" t="inlineStr">
        <is>
          <t>Owner unit net sq ft</t>
        </is>
      </c>
      <c r="C57" s="9" t="n">
        <v>0</v>
      </c>
    </row>
    <row r="58">
      <c r="B58" s="3" t="inlineStr">
        <is>
          <t>Rental unit net sq ft (each)</t>
        </is>
      </c>
      <c r="C58" s="9" t="n">
        <v>0</v>
      </c>
    </row>
    <row r="59">
      <c r="B59" s="3" t="inlineStr">
        <is>
          <t>Rented units</t>
        </is>
      </c>
      <c r="C59" s="9" t="n">
        <v>0</v>
      </c>
    </row>
    <row r="60">
      <c r="B60" s="3" t="inlineStr">
        <is>
          <t>Gross sq ft, whole building</t>
        </is>
      </c>
      <c r="C60" s="9" t="n">
        <v>0</v>
      </c>
    </row>
    <row r="61">
      <c r="B61" s="3" t="inlineStr">
        <is>
          <t>Factory cost per gross sq ft (at this order volume)</t>
        </is>
      </c>
      <c r="C61" s="11" t="n">
        <v>0</v>
      </c>
    </row>
    <row r="62">
      <c r="B62" s="3" t="inlineStr">
        <is>
          <t>Field cost per gross sq ft</t>
        </is>
      </c>
      <c r="C62" s="11" t="n">
        <v>0</v>
      </c>
    </row>
    <row r="63">
      <c r="B63" s="3" t="inlineStr">
        <is>
          <t>Transport, crane and set</t>
        </is>
      </c>
      <c r="C63" s="11" t="n">
        <v>0</v>
      </c>
    </row>
    <row r="64">
      <c r="B64" s="3" t="inlineStr">
        <is>
          <t>Building (factory + field + transport, or stick-built)</t>
        </is>
      </c>
      <c r="C64" s="11" t="n">
        <v>0</v>
      </c>
    </row>
    <row r="65">
      <c r="B65" s="3" t="inlineStr">
        <is>
          <t>Add-ons and hard-cost extras</t>
        </is>
      </c>
      <c r="C65" s="11" t="n">
        <v>0</v>
      </c>
    </row>
    <row r="66">
      <c r="B66" s="3" t="inlineStr">
        <is>
          <t>Warehouse and bulk buying (net)</t>
        </is>
      </c>
      <c r="C66" s="11" t="n">
        <v>0</v>
      </c>
    </row>
    <row r="67">
      <c r="B67" s="3" t="inlineStr">
        <is>
          <t>Site work</t>
        </is>
      </c>
      <c r="C67" s="11" t="n">
        <v>0</v>
      </c>
    </row>
    <row r="68">
      <c r="B68" s="3" t="inlineStr">
        <is>
          <t>Hard-cost contingency</t>
        </is>
      </c>
      <c r="C68" s="11" t="n">
        <v>0</v>
      </c>
    </row>
    <row r="69">
      <c r="B69" s="15" t="inlineStr">
        <is>
          <t>Construction cost</t>
        </is>
      </c>
      <c r="C69" s="16" t="n">
        <v>0</v>
      </c>
    </row>
    <row r="70">
      <c r="B70" s="3" t="inlineStr">
        <is>
          <t>Soft costs incl. contingency</t>
        </is>
      </c>
      <c r="C70" s="11" t="n">
        <v>0</v>
      </c>
    </row>
    <row r="71">
      <c r="B71" s="3" t="inlineStr">
        <is>
          <t>Construction loan interest</t>
        </is>
      </c>
      <c r="C71" s="11" t="n">
        <v>0</v>
      </c>
    </row>
    <row r="72">
      <c r="B72" s="3" t="inlineStr">
        <is>
          <t>Carry and land</t>
        </is>
      </c>
      <c r="C72" s="11" t="n">
        <v>0</v>
      </c>
    </row>
    <row r="73">
      <c r="B73" s="3" t="inlineStr">
        <is>
          <t>Developer fee</t>
        </is>
      </c>
      <c r="C73" s="11" t="n">
        <v>0</v>
      </c>
    </row>
    <row r="74">
      <c r="B74" s="15" t="inlineStr">
        <is>
          <t>Total development cost (TDC)</t>
        </is>
      </c>
      <c r="C74" s="16" t="n">
        <v>0</v>
      </c>
    </row>
    <row r="75">
      <c r="B75" s="3" t="inlineStr">
        <is>
          <t>TDC per unit</t>
        </is>
      </c>
      <c r="C75" s="11" t="n">
        <v>0</v>
      </c>
    </row>
    <row r="76">
      <c r="B76" s="3" t="inlineStr">
        <is>
          <t>TDC per gross sq ft</t>
        </is>
      </c>
      <c r="C76" s="11" t="n">
        <v>0</v>
      </c>
    </row>
    <row r="78">
      <c r="B78" s="4" t="inlineStr">
        <is>
          <t>Rent for the rental unit</t>
        </is>
      </c>
    </row>
    <row r="79">
      <c r="B79" s="3" t="inlineStr">
        <is>
          <t>Renter household income at the rent target</t>
        </is>
      </c>
      <c r="C79" s="11" t="n">
        <v>0</v>
      </c>
    </row>
    <row r="80">
      <c r="B80" s="3" t="inlineStr">
        <is>
          <t>AMI rent, net of utilities (what the owner can charge)</t>
        </is>
      </c>
      <c r="C80" s="11" t="n">
        <v>0</v>
      </c>
    </row>
    <row r="81">
      <c r="B81" s="3" t="inlineStr">
        <is>
          <t>Market asking rent, rental bedroom count</t>
        </is>
      </c>
      <c r="C81" s="11" t="n">
        <v>0</v>
      </c>
    </row>
    <row r="82">
      <c r="B82" s="3" t="inlineStr">
        <is>
          <t>Rent charged per rental unit</t>
        </is>
      </c>
      <c r="C82" s="11" t="n">
        <v>0</v>
      </c>
    </row>
    <row r="83">
      <c r="B83" s="3" t="inlineStr">
        <is>
          <t>What sets the rent</t>
        </is>
      </c>
      <c r="C83" s="8" t="inlineStr"/>
    </row>
    <row r="84">
      <c r="B84" s="3" t="inlineStr">
        <is>
          <t>Rent charged as % of renter income</t>
        </is>
      </c>
      <c r="C84" s="13" t="n">
        <v>0</v>
      </c>
    </row>
    <row r="85">
      <c r="B85" s="3" t="inlineStr">
        <is>
          <t>Gross rent, all rental units, per month</t>
        </is>
      </c>
      <c r="C85" s="11" t="n">
        <v>0</v>
      </c>
    </row>
    <row r="86">
      <c r="B86" s="3" t="inlineStr">
        <is>
          <t>Rent collected per month (after vacancy)</t>
        </is>
      </c>
      <c r="C86" s="11" t="n">
        <v>0</v>
      </c>
    </row>
    <row r="87">
      <c r="B87" s="3" t="inlineStr">
        <is>
          <t>Rent a lender counts, per month</t>
        </is>
      </c>
      <c r="C87" s="11" t="n">
        <v>0</v>
      </c>
    </row>
    <row r="89">
      <c r="B89" s="4" t="inlineStr">
        <is>
          <t>What the buyer can pay</t>
        </is>
      </c>
    </row>
    <row r="90">
      <c r="B90" s="3" t="inlineStr">
        <is>
          <t>Owner household income</t>
        </is>
      </c>
      <c r="C90" s="11" t="n">
        <v>0</v>
      </c>
    </row>
    <row r="91">
      <c r="B91" s="3" t="inlineStr">
        <is>
          <t>Property tax per month</t>
        </is>
      </c>
      <c r="C91" s="11" t="n">
        <v>0</v>
      </c>
    </row>
    <row r="92">
      <c r="B92" s="3" t="inlineStr">
        <is>
          <t>Insurance per month</t>
        </is>
      </c>
      <c r="C92" s="11" t="n">
        <v>0</v>
      </c>
    </row>
    <row r="93">
      <c r="B93" s="3" t="inlineStr">
        <is>
          <t>Owner-paid common utilities per month</t>
        </is>
      </c>
      <c r="C93" s="11" t="n">
        <v>0</v>
      </c>
    </row>
    <row r="94">
      <c r="B94" s="3" t="inlineStr">
        <is>
          <t>Owner energy bills per month</t>
        </is>
      </c>
      <c r="C94" s="11" t="n">
        <v>0</v>
      </c>
    </row>
    <row r="95">
      <c r="B95" s="3" t="inlineStr">
        <is>
          <t>Maintenance and reserve per month</t>
        </is>
      </c>
      <c r="C95" s="11" t="n">
        <v>0</v>
      </c>
    </row>
    <row r="96">
      <c r="B96" s="3" t="inlineStr">
        <is>
          <t>Less add-on savings per month</t>
        </is>
      </c>
      <c r="C96" s="11" t="n">
        <v>0</v>
      </c>
    </row>
    <row r="97">
      <c r="B97" s="3" t="inlineStr">
        <is>
          <t>Non-mortgage housing costs per month</t>
        </is>
      </c>
      <c r="C97" s="11" t="n">
        <v>0</v>
      </c>
    </row>
    <row r="98">
      <c r="B98" s="3" t="inlineStr">
        <is>
          <t>Monthly payment per $1 of loan (P&amp;I + FHA insurance)</t>
        </is>
      </c>
      <c r="C98" s="17" t="n">
        <v>0</v>
      </c>
    </row>
    <row r="99">
      <c r="B99" s="3" t="inlineStr">
        <is>
          <t>Lender test: maximum price</t>
        </is>
      </c>
      <c r="C99" s="11" t="n">
        <v>0</v>
      </c>
    </row>
    <row r="100">
      <c r="B100" s="3" t="inlineStr">
        <is>
          <t>Owner test: maximum price</t>
        </is>
      </c>
      <c r="C100" s="11" t="n">
        <v>0</v>
      </c>
    </row>
    <row r="101">
      <c r="B101" s="3" t="inlineStr">
        <is>
          <t>Buyer capacity (lower of the two tests)</t>
        </is>
      </c>
      <c r="C101" s="11" t="n">
        <v>0</v>
      </c>
    </row>
    <row r="102">
      <c r="B102" s="3" t="inlineStr">
        <is>
          <t>Which test binds</t>
        </is>
      </c>
      <c r="C102" s="8" t="inlineStr"/>
    </row>
    <row r="103">
      <c r="B103" s="3" t="inlineStr">
        <is>
          <t>CHFA Time To Own and other buyer assistance</t>
        </is>
      </c>
      <c r="C103" s="11" t="n">
        <v>0</v>
      </c>
    </row>
    <row r="104">
      <c r="B104" s="15" t="inlineStr">
        <is>
          <t>Most the buyer can pay</t>
        </is>
      </c>
      <c r="C104" s="16" t="n">
        <v>0</v>
      </c>
    </row>
    <row r="106">
      <c r="B106" s="6" t="inlineStr">
        <is>
          <t>5. RESULTS</t>
        </is>
      </c>
      <c r="C106" s="7" t="n"/>
      <c r="D106" s="7" t="n"/>
      <c r="E106" s="7" t="n"/>
      <c r="F106" s="7" t="n"/>
      <c r="G106" s="7" t="n"/>
      <c r="H106" s="7" t="n"/>
      <c r="I106" s="7" t="n"/>
    </row>
    <row r="107">
      <c r="B107" s="3" t="inlineStr">
        <is>
          <t>Appraised value</t>
        </is>
      </c>
      <c r="C107" s="11" t="n">
        <v>0</v>
      </c>
    </row>
    <row r="108">
      <c r="B108" s="15" t="inlineStr">
        <is>
          <t>Sales gap (appraisal − what the buyer can pay)</t>
        </is>
      </c>
      <c r="C108" s="16" t="n">
        <v>0</v>
      </c>
    </row>
    <row r="109">
      <c r="B109" s="3" t="inlineStr">
        <is>
          <t>DOH homebuyer subsidy</t>
        </is>
      </c>
      <c r="C109" s="11" t="n">
        <v>0</v>
      </c>
    </row>
    <row r="110">
      <c r="B110" s="3" t="inlineStr">
        <is>
          <t>Sale proceeds to the developer</t>
        </is>
      </c>
      <c r="C110" s="11" t="n">
        <v>0</v>
      </c>
    </row>
    <row r="111">
      <c r="B111" s="3" t="inlineStr">
        <is>
          <t>What the buyer pays (mortgage + down payment)</t>
        </is>
      </c>
      <c r="C111" s="11" t="n">
        <v>0</v>
      </c>
    </row>
    <row r="112">
      <c r="B112" s="15" t="inlineStr">
        <is>
          <t>Developer gap (TDC − sale proceeds)</t>
        </is>
      </c>
      <c r="C112" s="16" t="n">
        <v>0</v>
      </c>
    </row>
    <row r="113">
      <c r="B113" s="3" t="inlineStr">
        <is>
          <t>HDF / C4C grant</t>
        </is>
      </c>
      <c r="C113" s="11" t="n">
        <v>0</v>
      </c>
    </row>
    <row r="114">
      <c r="B114" s="3" t="inlineStr">
        <is>
          <t>FHLBank Boston AHP</t>
        </is>
      </c>
      <c r="C114" s="11" t="n">
        <v>0</v>
      </c>
    </row>
    <row r="115">
      <c r="B115" s="3" t="inlineStr">
        <is>
          <t>HTCC share</t>
        </is>
      </c>
      <c r="C115" s="11" t="n">
        <v>0</v>
      </c>
    </row>
    <row r="116">
      <c r="B116" s="3" t="inlineStr">
        <is>
          <t>New Markets Tax Credits (net, if on)</t>
        </is>
      </c>
      <c r="C116" s="11" t="n">
        <v>0</v>
      </c>
    </row>
    <row r="117">
      <c r="B117" s="3" t="inlineStr">
        <is>
          <t>DOH developer subsidy</t>
        </is>
      </c>
      <c r="C117" s="11" t="n">
        <v>0</v>
      </c>
    </row>
    <row r="118">
      <c r="B118" s="15" t="inlineStr">
        <is>
          <t>Remaining developer gap</t>
        </is>
      </c>
      <c r="C118" s="16" t="n">
        <v>0</v>
      </c>
    </row>
    <row r="119">
      <c r="B119" s="15" t="inlineStr">
        <is>
          <t>Total subsidy needed (TDC − what the buyer pays)</t>
        </is>
      </c>
      <c r="C119" s="16" t="n">
        <v>0</v>
      </c>
    </row>
    <row r="120">
      <c r="B120" s="3" t="inlineStr">
        <is>
          <t>Subsidy needed per unit</t>
        </is>
      </c>
      <c r="C120" s="11" t="n">
        <v>0</v>
      </c>
    </row>
    <row r="121">
      <c r="B121" s="3" t="inlineStr">
        <is>
          <t>Subsidy as % of TDC</t>
        </is>
      </c>
      <c r="C121" s="13" t="n">
        <v>0</v>
      </c>
    </row>
    <row r="122">
      <c r="B122" s="3" t="inlineStr">
        <is>
          <t>Most the buyer can pay as % of the existing-building median</t>
        </is>
      </c>
      <c r="C122" s="13" t="n">
        <v>0</v>
      </c>
    </row>
    <row r="124">
      <c r="B124" s="4" t="inlineStr">
        <is>
          <t>Owner's net monthly housing cost</t>
        </is>
      </c>
    </row>
    <row r="125">
      <c r="B125" s="3" t="inlineStr">
        <is>
          <t>Mortgage payment + FHA insurance</t>
        </is>
      </c>
      <c r="C125" s="11" t="n">
        <v>0</v>
      </c>
    </row>
    <row r="126">
      <c r="B126" s="3" t="inlineStr">
        <is>
          <t>Plus non-mortgage costs (tax, insurance, utilities, reserve, less add-on savings)</t>
        </is>
      </c>
      <c r="C126" s="11" t="n">
        <v>0</v>
      </c>
    </row>
    <row r="127">
      <c r="B127" s="3" t="inlineStr">
        <is>
          <t>Total monthly cost of owning the building</t>
        </is>
      </c>
      <c r="C127" s="11" t="n">
        <v>0</v>
      </c>
    </row>
    <row r="128">
      <c r="B128" s="3" t="inlineStr">
        <is>
          <t>Minus rent collected (after vacancy)</t>
        </is>
      </c>
      <c r="C128" s="11" t="n">
        <v>0</v>
      </c>
    </row>
    <row r="129">
      <c r="B129" s="15" t="inlineStr">
        <is>
          <t>Owner's net monthly cost</t>
        </is>
      </c>
      <c r="C129" s="16" t="n">
        <v>0</v>
      </c>
    </row>
    <row r="130">
      <c r="B130" s="15" t="inlineStr">
        <is>
          <t>Net cost as % of owner income</t>
        </is>
      </c>
      <c r="C130" s="18" t="n">
        <v>0</v>
      </c>
    </row>
    <row r="131">
      <c r="B131" s="3" t="inlineStr">
        <is>
          <t>Residual income after housing and MIT living costs ($ per year)</t>
        </is>
      </c>
      <c r="C131" s="11" t="n">
        <v>0</v>
      </c>
    </row>
    <row r="132">
      <c r="B132" s="3" t="inlineStr">
        <is>
          <t>Energy burden</t>
        </is>
      </c>
      <c r="C132" s="13" t="n">
        <v>0</v>
      </c>
    </row>
    <row r="134">
      <c r="B134" s="6" t="inlineStr">
        <is>
          <t>6. USES VS. SOURCES (chart data)</t>
        </is>
      </c>
      <c r="C134" s="7" t="n"/>
      <c r="D134" s="7" t="n"/>
      <c r="E134" s="7" t="n"/>
      <c r="F134" s="7" t="n"/>
      <c r="G134" s="7" t="n"/>
      <c r="H134" s="7" t="n"/>
      <c r="I134" s="7" t="n"/>
    </row>
    <row r="135">
      <c r="C135" s="12" t="inlineStr">
        <is>
          <t>Uses</t>
        </is>
      </c>
      <c r="D135" s="12" t="inlineStr">
        <is>
          <t>Sources</t>
        </is>
      </c>
    </row>
    <row r="136">
      <c r="B136" s="3" t="inlineStr">
        <is>
          <t>Building</t>
        </is>
      </c>
      <c r="C136" s="11" t="n">
        <v>0</v>
      </c>
      <c r="D136" s="11" t="n">
        <v>0</v>
      </c>
    </row>
    <row r="137">
      <c r="B137" s="3" t="inlineStr">
        <is>
          <t>Add-ons and warehouse</t>
        </is>
      </c>
      <c r="C137" s="11" t="n">
        <v>0</v>
      </c>
      <c r="D137" s="11" t="n">
        <v>0</v>
      </c>
    </row>
    <row r="138">
      <c r="B138" s="3" t="inlineStr">
        <is>
          <t>Site work and hard contingency</t>
        </is>
      </c>
      <c r="C138" s="11" t="n">
        <v>0</v>
      </c>
      <c r="D138" s="11" t="n">
        <v>0</v>
      </c>
    </row>
    <row r="139">
      <c r="B139" s="3" t="inlineStr">
        <is>
          <t>Soft costs</t>
        </is>
      </c>
      <c r="C139" s="11" t="n">
        <v>0</v>
      </c>
      <c r="D139" s="11" t="n">
        <v>0</v>
      </c>
    </row>
    <row r="140">
      <c r="B140" s="3" t="inlineStr">
        <is>
          <t>Construction loan, carry and land</t>
        </is>
      </c>
      <c r="C140" s="11" t="n">
        <v>0</v>
      </c>
      <c r="D140" s="11" t="n">
        <v>0</v>
      </c>
    </row>
    <row r="141">
      <c r="B141" s="3" t="inlineStr">
        <is>
          <t>Developer fee</t>
        </is>
      </c>
      <c r="C141" s="11" t="n">
        <v>0</v>
      </c>
      <c r="D141" s="11" t="n">
        <v>0</v>
      </c>
    </row>
    <row r="142">
      <c r="B142" s="3" t="inlineStr">
        <is>
          <t>Buyer down payment</t>
        </is>
      </c>
      <c r="C142" s="11" t="n">
        <v>0</v>
      </c>
      <c r="D142" s="11" t="n">
        <v>0</v>
      </c>
    </row>
    <row r="143">
      <c r="B143" s="3" t="inlineStr">
        <is>
          <t>Buyer mortgage</t>
        </is>
      </c>
      <c r="C143" s="11" t="n">
        <v>0</v>
      </c>
      <c r="D143" s="11" t="n">
        <v>0</v>
      </c>
    </row>
    <row r="144">
      <c r="B144" s="3" t="inlineStr">
        <is>
          <t>Buyer assistance (Time To Own)</t>
        </is>
      </c>
      <c r="C144" s="11" t="n">
        <v>0</v>
      </c>
      <c r="D144" s="11" t="n">
        <v>0</v>
      </c>
    </row>
    <row r="145">
      <c r="B145" s="3" t="inlineStr">
        <is>
          <t>DOH homebuyer subsidy</t>
        </is>
      </c>
      <c r="C145" s="11" t="n">
        <v>0</v>
      </c>
      <c r="D145" s="11" t="n">
        <v>0</v>
      </c>
    </row>
    <row r="146">
      <c r="B146" s="3" t="inlineStr">
        <is>
          <t>HDF / C4C grant</t>
        </is>
      </c>
      <c r="C146" s="11" t="n">
        <v>0</v>
      </c>
      <c r="D146" s="11" t="n">
        <v>0</v>
      </c>
    </row>
    <row r="147">
      <c r="B147" s="3" t="inlineStr">
        <is>
          <t>FHLBank Boston AHP</t>
        </is>
      </c>
      <c r="C147" s="11" t="n">
        <v>0</v>
      </c>
      <c r="D147" s="11" t="n">
        <v>0</v>
      </c>
    </row>
    <row r="148">
      <c r="B148" s="3" t="inlineStr">
        <is>
          <t>HTCC share</t>
        </is>
      </c>
      <c r="C148" s="11" t="n">
        <v>0</v>
      </c>
      <c r="D148" s="11" t="n">
        <v>0</v>
      </c>
    </row>
    <row r="149">
      <c r="B149" s="3" t="inlineStr">
        <is>
          <t>New Markets Tax Credits</t>
        </is>
      </c>
      <c r="C149" s="11" t="n">
        <v>0</v>
      </c>
      <c r="D149" s="11" t="n">
        <v>0</v>
      </c>
    </row>
    <row r="150">
      <c r="B150" s="3" t="inlineStr">
        <is>
          <t>DOH developer subsidy</t>
        </is>
      </c>
      <c r="C150" s="11" t="n">
        <v>0</v>
      </c>
      <c r="D150" s="11" t="n">
        <v>0</v>
      </c>
    </row>
    <row r="151">
      <c r="B151" s="3" t="inlineStr">
        <is>
          <t>Remaining gap</t>
        </is>
      </c>
      <c r="C151" s="11" t="n">
        <v>0</v>
      </c>
      <c r="D151" s="11" t="n">
        <v>0</v>
      </c>
    </row>
    <row r="152">
      <c r="B152" s="4" t="inlineStr">
        <is>
          <t>Total</t>
        </is>
      </c>
      <c r="C152" s="19">
        <f>SUM(C136:C151)</f>
        <v/>
      </c>
      <c r="D152" s="19">
        <f>SUM(D136:D151)</f>
        <v/>
      </c>
    </row>
    <row r="153">
      <c r="B153" s="5" t="inlineStr">
        <is>
          <t>Check: sources minus uses (0, or a surplus when the sale covers the cost)</t>
        </is>
      </c>
      <c r="C153" s="20">
        <f>D152-C152</f>
        <v/>
      </c>
    </row>
    <row r="155">
      <c r="B155" s="6" t="inlineStr">
        <is>
          <t>7. FUNDING WATERFALL (caps and precedents, not awards)</t>
        </is>
      </c>
      <c r="C155" s="7" t="n"/>
      <c r="D155" s="7" t="n"/>
      <c r="E155" s="7" t="n"/>
      <c r="F155" s="7" t="n"/>
      <c r="G155" s="7" t="n"/>
      <c r="H155" s="7" t="n"/>
      <c r="I155" s="7" t="n"/>
    </row>
    <row r="156">
      <c r="C156" s="12" t="inlineStr">
        <is>
          <t>Amount</t>
        </is>
      </c>
      <c r="D156" s="12" t="inlineStr">
        <is>
          <t>Chart: base</t>
        </is>
      </c>
      <c r="E156" s="12" t="inlineStr">
        <is>
          <t>Chart: bar</t>
        </is>
      </c>
    </row>
    <row r="157">
      <c r="B157" s="3" t="inlineStr">
        <is>
          <t>Total development cost</t>
        </is>
      </c>
      <c r="C157" s="11" t="n">
        <v>0</v>
      </c>
      <c r="D157" s="11" t="n">
        <v>0</v>
      </c>
      <c r="E157" s="11">
        <f>C157</f>
        <v/>
      </c>
    </row>
    <row r="158">
      <c r="B158" s="3" t="inlineStr">
        <is>
          <t>Buyer mortgage + down payment</t>
        </is>
      </c>
      <c r="C158" s="11" t="n">
        <v>0</v>
      </c>
      <c r="D158" s="11">
        <f>MAX(0,$C$157-SUM($C$158:C158))</f>
        <v/>
      </c>
      <c r="E158" s="11">
        <f>MIN(C158,$C$157)</f>
        <v/>
      </c>
    </row>
    <row r="159">
      <c r="B159" s="3" t="inlineStr">
        <is>
          <t>Time To Own</t>
        </is>
      </c>
      <c r="C159" s="11" t="n">
        <v>0</v>
      </c>
      <c r="D159" s="11">
        <f>MAX(0,$C$157-SUM($C$158:C159))</f>
        <v/>
      </c>
      <c r="E159" s="11">
        <f>MIN(C159,MAX(0,$C$157-SUM($C$158:C158)))</f>
        <v/>
      </c>
    </row>
    <row r="160">
      <c r="B160" s="3" t="inlineStr">
        <is>
          <t>DOH homebuyer subsidy</t>
        </is>
      </c>
      <c r="C160" s="11" t="n">
        <v>0</v>
      </c>
      <c r="D160" s="11">
        <f>MAX(0,$C$157-SUM($C$158:C160))</f>
        <v/>
      </c>
      <c r="E160" s="11">
        <f>MIN(C160,MAX(0,$C$157-SUM($C$158:C159)))</f>
        <v/>
      </c>
    </row>
    <row r="161">
      <c r="B161" s="3" t="inlineStr">
        <is>
          <t>HDF / C4C grant</t>
        </is>
      </c>
      <c r="C161" s="11" t="n">
        <v>0</v>
      </c>
      <c r="D161" s="11">
        <f>MAX(0,$C$157-SUM($C$158:C161))</f>
        <v/>
      </c>
      <c r="E161" s="11">
        <f>MIN(C161,MAX(0,$C$157-SUM($C$158:C160)))</f>
        <v/>
      </c>
    </row>
    <row r="162">
      <c r="B162" s="3" t="inlineStr">
        <is>
          <t>FHLBank Boston AHP</t>
        </is>
      </c>
      <c r="C162" s="11" t="n">
        <v>0</v>
      </c>
      <c r="D162" s="11">
        <f>MAX(0,$C$157-SUM($C$158:C162))</f>
        <v/>
      </c>
      <c r="E162" s="11">
        <f>MIN(C162,MAX(0,$C$157-SUM($C$158:C161)))</f>
        <v/>
      </c>
    </row>
    <row r="163">
      <c r="B163" s="3" t="inlineStr">
        <is>
          <t>HTCC share</t>
        </is>
      </c>
      <c r="C163" s="11" t="n">
        <v>0</v>
      </c>
      <c r="D163" s="11">
        <f>MAX(0,$C$157-SUM($C$158:C163))</f>
        <v/>
      </c>
      <c r="E163" s="11">
        <f>MIN(C163,MAX(0,$C$157-SUM($C$158:C162)))</f>
        <v/>
      </c>
    </row>
    <row r="164">
      <c r="B164" s="3" t="inlineStr">
        <is>
          <t>New Markets Tax Credits</t>
        </is>
      </c>
      <c r="C164" s="11" t="n">
        <v>0</v>
      </c>
      <c r="D164" s="11">
        <f>MAX(0,$C$157-SUM($C$158:C164))</f>
        <v/>
      </c>
      <c r="E164" s="11">
        <f>MIN(C164,MAX(0,$C$157-SUM($C$158:C163)))</f>
        <v/>
      </c>
    </row>
    <row r="165">
      <c r="B165" s="3" t="inlineStr">
        <is>
          <t>DOH developer subsidy</t>
        </is>
      </c>
      <c r="C165" s="11" t="n">
        <v>0</v>
      </c>
      <c r="D165" s="11">
        <f>MAX(0,$C$157-SUM($C$158:C165))</f>
        <v/>
      </c>
      <c r="E165" s="11">
        <f>MIN(C165,MAX(0,$C$157-SUM($C$158:C164)))</f>
        <v/>
      </c>
    </row>
    <row r="166">
      <c r="B166" s="3" t="inlineStr">
        <is>
          <t>Remaining gap</t>
        </is>
      </c>
      <c r="C166" s="11" t="n">
        <v>0</v>
      </c>
      <c r="D166" s="11" t="n">
        <v>0</v>
      </c>
      <c r="E166" s="11">
        <f>C166</f>
        <v/>
      </c>
    </row>
    <row r="167">
      <c r="B167" s="5" t="inlineStr">
        <is>
          <t>Program amounts are caps and precedents, not awards. Whether HDF, AHP, HTCC and DOH can fund the same home is unconfirmed.</t>
        </is>
      </c>
    </row>
    <row r="169">
      <c r="B169" s="6" t="inlineStr">
        <is>
          <t>8. SENSITIVITY: owner income target (everything else as set)</t>
        </is>
      </c>
      <c r="C169" s="7" t="n"/>
      <c r="D169" s="7" t="n"/>
      <c r="E169" s="7" t="n"/>
      <c r="F169" s="7" t="n"/>
      <c r="G169" s="7" t="n"/>
      <c r="H169" s="7" t="n"/>
      <c r="I169" s="7" t="n"/>
    </row>
    <row r="170">
      <c r="B170" s="4" t="inlineStr">
        <is>
          <t>Owner income, % of AMI</t>
        </is>
      </c>
      <c r="C170" s="21" t="n">
        <v>0.5</v>
      </c>
      <c r="D170" s="21" t="n">
        <v>0.6</v>
      </c>
      <c r="E170" s="21" t="n">
        <v>0.7</v>
      </c>
      <c r="F170" s="21" t="n">
        <v>0.8</v>
      </c>
      <c r="G170" s="21" t="n">
        <v>0.9</v>
      </c>
      <c r="H170" s="21" t="n">
        <v>1</v>
      </c>
      <c r="I170" s="21" t="n">
        <v>1.2</v>
      </c>
    </row>
    <row r="171">
      <c r="B171" s="3" t="inlineStr">
        <is>
          <t>Owner household income</t>
        </is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</row>
    <row r="172">
      <c r="B172" s="3" t="inlineStr">
        <is>
          <t>Lender test: maximum price</t>
        </is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</row>
    <row r="173">
      <c r="B173" s="3" t="inlineStr">
        <is>
          <t>Owner test: maximum price</t>
        </is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</row>
    <row r="174">
      <c r="B174" s="3" t="inlineStr">
        <is>
          <t>Most the buyer can pay (incl. Time To Own)</t>
        </is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</row>
    <row r="175">
      <c r="B175" s="3" t="inlineStr">
        <is>
          <t>Appraised value</t>
        </is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</row>
    <row r="176">
      <c r="B176" s="3" t="inlineStr">
        <is>
          <t>Sales gap</t>
        </is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</row>
    <row r="177">
      <c r="B177" s="3" t="inlineStr">
        <is>
          <t>Remaining developer gap</t>
        </is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</row>
    <row r="178">
      <c r="B178" s="3" t="inlineStr">
        <is>
          <t>Subsidy needed per unit</t>
        </is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</row>
    <row r="179">
      <c r="B179" s="3" t="inlineStr">
        <is>
          <t>Owner's net monthly cost</t>
        </is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</row>
    <row r="180">
      <c r="B180" s="3" t="inlineStr">
        <is>
          <t>Net cost as % of income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</row>
    <row r="182">
      <c r="B182" s="6" t="inlineStr">
        <is>
          <t>9. BUILDING SIZE: modular vs. stick-built (same city data and inputs)</t>
        </is>
      </c>
      <c r="C182" s="7" t="n"/>
      <c r="D182" s="7" t="n"/>
      <c r="E182" s="7" t="n"/>
      <c r="F182" s="7" t="n"/>
      <c r="G182" s="7" t="n"/>
      <c r="H182" s="7" t="n"/>
      <c r="I182" s="7" t="n"/>
    </row>
    <row r="183">
      <c r="B183" s="4" t="inlineStr">
        <is>
          <t>Units in the building</t>
        </is>
      </c>
      <c r="C183" s="12" t="n">
        <v>2</v>
      </c>
      <c r="D183" s="12" t="n">
        <v>3</v>
      </c>
      <c r="E183" s="12" t="n">
        <v>4</v>
      </c>
    </row>
    <row r="184">
      <c r="B184" s="3" t="inlineStr">
        <is>
          <t>Gross sq ft</t>
        </is>
      </c>
      <c r="C184" s="9" t="n">
        <v>0</v>
      </c>
      <c r="D184" s="9" t="n">
        <v>0</v>
      </c>
      <c r="E184" s="9" t="n">
        <v>0</v>
      </c>
    </row>
    <row r="185">
      <c r="B185" s="3" t="inlineStr">
        <is>
          <t>Modular TDC</t>
        </is>
      </c>
      <c r="C185" s="11" t="n">
        <v>0</v>
      </c>
      <c r="D185" s="11" t="n">
        <v>0</v>
      </c>
      <c r="E185" s="11" t="n">
        <v>0</v>
      </c>
    </row>
    <row r="186">
      <c r="B186" s="3" t="inlineStr">
        <is>
          <t>Modular TDC per unit</t>
        </is>
      </c>
      <c r="C186" s="11" t="n">
        <v>0</v>
      </c>
      <c r="D186" s="11" t="n">
        <v>0</v>
      </c>
      <c r="E186" s="11" t="n">
        <v>0</v>
      </c>
    </row>
    <row r="187">
      <c r="B187" s="3" t="inlineStr">
        <is>
          <t>Stick-built TDC</t>
        </is>
      </c>
      <c r="C187" s="11" t="n">
        <v>0</v>
      </c>
      <c r="D187" s="11" t="n">
        <v>0</v>
      </c>
      <c r="E187" s="11" t="n">
        <v>0</v>
      </c>
    </row>
    <row r="188">
      <c r="B188" s="3" t="inlineStr">
        <is>
          <t>Stick-built TDC per unit</t>
        </is>
      </c>
      <c r="C188" s="11" t="n">
        <v>0</v>
      </c>
      <c r="D188" s="11" t="n">
        <v>0</v>
      </c>
      <c r="E188" s="11" t="n">
        <v>0</v>
      </c>
    </row>
    <row r="189">
      <c r="B189" s="3" t="inlineStr">
        <is>
          <t>Modular saving per unit</t>
        </is>
      </c>
      <c r="C189" s="13" t="n">
        <v>0</v>
      </c>
      <c r="D189" s="13" t="n">
        <v>0</v>
      </c>
      <c r="E189" s="13" t="n">
        <v>0</v>
      </c>
    </row>
    <row r="190">
      <c r="B190" s="3" t="inlineStr">
        <is>
          <t>Appraised value used</t>
        </is>
      </c>
      <c r="C190" s="11" t="n">
        <v>0</v>
      </c>
      <c r="D190" s="11" t="n">
        <v>0</v>
      </c>
      <c r="E190" s="11" t="n">
        <v>0</v>
      </c>
    </row>
    <row r="191">
      <c r="B191" s="3" t="inlineStr">
        <is>
          <t>Modular subsidy needed per unit</t>
        </is>
      </c>
      <c r="C191" s="11" t="n">
        <v>0</v>
      </c>
      <c r="D191" s="11" t="n">
        <v>0</v>
      </c>
      <c r="E191" s="11" t="n">
        <v>0</v>
      </c>
    </row>
    <row r="192">
      <c r="B192" s="3" t="inlineStr">
        <is>
          <t>Modular remaining developer gap</t>
        </is>
      </c>
      <c r="C192" s="11" t="n">
        <v>0</v>
      </c>
      <c r="D192" s="11" t="n">
        <v>0</v>
      </c>
      <c r="E192" s="11" t="n">
        <v>0</v>
      </c>
    </row>
    <row r="193">
      <c r="B193" s="5" t="inlineStr">
        <is>
          <t>Modular = the construction method set in the explorer (Reframe unless changed). The appraisal stays at the value set for the base building.</t>
        </is>
      </c>
    </row>
    <row r="195">
      <c r="B195" s="6" t="inlineStr">
        <is>
          <t>10. WHAT MOVES THE REMAINING GAP: one change at a time</t>
        </is>
      </c>
      <c r="C195" s="7" t="n"/>
      <c r="D195" s="7" t="n"/>
      <c r="E195" s="7" t="n"/>
      <c r="F195" s="7" t="n"/>
      <c r="G195" s="7" t="n"/>
      <c r="H195" s="7" t="n"/>
      <c r="I195" s="7" t="n"/>
    </row>
    <row r="196">
      <c r="C196" s="12" t="inlineStr">
        <is>
          <t>Remaining gap</t>
        </is>
      </c>
      <c r="D196" s="12" t="inlineStr">
        <is>
          <t>Change vs. as set</t>
        </is>
      </c>
      <c r="E196" s="12" t="inlineStr">
        <is>
          <t>Subsidy needed</t>
        </is>
      </c>
    </row>
    <row r="197">
      <c r="B197" s="4" t="inlineStr">
        <is>
          <t>As set at export</t>
        </is>
      </c>
      <c r="C197" s="19" t="n">
        <v>0</v>
      </c>
      <c r="D197" s="20" t="n">
        <v>0</v>
      </c>
      <c r="E197" s="11" t="n">
        <v>0</v>
      </c>
    </row>
    <row r="198">
      <c r="B198" s="8" t="inlineStr"/>
      <c r="C198" s="11" t="n">
        <v>0</v>
      </c>
      <c r="D198" s="22">
        <f>C198-$C$197</f>
        <v/>
      </c>
      <c r="E198" s="11" t="n">
        <v>0</v>
      </c>
    </row>
    <row r="199">
      <c r="B199" s="8" t="inlineStr"/>
      <c r="C199" s="11" t="n">
        <v>0</v>
      </c>
      <c r="D199" s="22">
        <f>C199-$C$197</f>
        <v/>
      </c>
      <c r="E199" s="11" t="n">
        <v>0</v>
      </c>
    </row>
    <row r="200">
      <c r="B200" s="8" t="inlineStr"/>
      <c r="C200" s="11" t="n">
        <v>0</v>
      </c>
      <c r="D200" s="22">
        <f>C200-$C$197</f>
        <v/>
      </c>
      <c r="E200" s="11" t="n">
        <v>0</v>
      </c>
    </row>
    <row r="201">
      <c r="B201" s="8" t="inlineStr"/>
      <c r="C201" s="11" t="n">
        <v>0</v>
      </c>
      <c r="D201" s="22">
        <f>C201-$C$197</f>
        <v/>
      </c>
      <c r="E201" s="11" t="n">
        <v>0</v>
      </c>
    </row>
    <row r="202">
      <c r="B202" s="8" t="inlineStr"/>
      <c r="C202" s="11" t="n">
        <v>0</v>
      </c>
      <c r="D202" s="22">
        <f>C202-$C$197</f>
        <v/>
      </c>
      <c r="E202" s="11" t="n">
        <v>0</v>
      </c>
    </row>
    <row r="203">
      <c r="B203" s="8" t="inlineStr"/>
      <c r="C203" s="11" t="n">
        <v>0</v>
      </c>
      <c r="D203" s="22">
        <f>C203-$C$197</f>
        <v/>
      </c>
      <c r="E203" s="11" t="n">
        <v>0</v>
      </c>
    </row>
    <row r="204">
      <c r="B204" s="8" t="inlineStr"/>
      <c r="C204" s="11" t="n">
        <v>0</v>
      </c>
      <c r="D204" s="22">
        <f>C204-$C$197</f>
        <v/>
      </c>
      <c r="E204" s="11" t="n">
        <v>0</v>
      </c>
    </row>
    <row r="205">
      <c r="B205" s="8" t="inlineStr"/>
      <c r="C205" s="11" t="n">
        <v>0</v>
      </c>
      <c r="D205" s="22">
        <f>C205-$C$197</f>
        <v/>
      </c>
      <c r="E205" s="11" t="n">
        <v>0</v>
      </c>
    </row>
    <row r="206">
      <c r="B206" s="8" t="inlineStr"/>
      <c r="C206" s="11" t="n">
        <v>0</v>
      </c>
      <c r="D206" s="22">
        <f>C206-$C$197</f>
        <v/>
      </c>
      <c r="E206" s="11" t="n">
        <v>0</v>
      </c>
    </row>
    <row r="207">
      <c r="B207" s="8" t="inlineStr"/>
      <c r="C207" s="11" t="n">
        <v>0</v>
      </c>
      <c r="D207" s="22">
        <f>C207-$C$197</f>
        <v/>
      </c>
      <c r="E207" s="11" t="n">
        <v>0</v>
      </c>
    </row>
    <row r="208">
      <c r="B208" s="8" t="inlineStr"/>
      <c r="C208" s="11" t="n">
        <v>0</v>
      </c>
      <c r="D208" s="22">
        <f>C208-$C$197</f>
        <v/>
      </c>
      <c r="E208" s="11" t="n">
        <v>0</v>
      </c>
    </row>
    <row r="209">
      <c r="B209" s="8" t="inlineStr"/>
      <c r="C209" s="11" t="n">
        <v>0</v>
      </c>
      <c r="D209" s="22">
        <f>C209-$C$197</f>
        <v/>
      </c>
      <c r="E209" s="11" t="n">
        <v>0</v>
      </c>
    </row>
    <row r="210">
      <c r="B210" s="8" t="inlineStr"/>
      <c r="C210" s="11" t="n">
        <v>0</v>
      </c>
      <c r="D210" s="22">
        <f>C210-$C$197</f>
        <v/>
      </c>
      <c r="E210" s="11" t="n">
        <v>0</v>
      </c>
    </row>
    <row r="211">
      <c r="B211" s="8" t="inlineStr"/>
      <c r="C211" s="11" t="n">
        <v>0</v>
      </c>
      <c r="D211" s="22">
        <f>C211-$C$197</f>
        <v/>
      </c>
      <c r="E211" s="11" t="n">
        <v>0</v>
      </c>
    </row>
    <row r="212">
      <c r="B212" s="8" t="inlineStr"/>
      <c r="C212" s="11" t="n">
        <v>0</v>
      </c>
      <c r="D212" s="22">
        <f>C212-$C$197</f>
        <v/>
      </c>
      <c r="E212" s="11" t="n">
        <v>0</v>
      </c>
    </row>
    <row r="213">
      <c r="B213" s="8" t="inlineStr"/>
      <c r="C213" s="11" t="n">
        <v>0</v>
      </c>
      <c r="D213" s="22">
        <f>C213-$C$197</f>
        <v/>
      </c>
      <c r="E213" s="11" t="n">
        <v>0</v>
      </c>
    </row>
    <row r="214">
      <c r="B214" s="8" t="inlineStr"/>
      <c r="C214" s="11" t="n">
        <v>0</v>
      </c>
      <c r="D214" s="22">
        <f>C214-$C$197</f>
        <v/>
      </c>
      <c r="E214" s="11" t="n">
        <v>0</v>
      </c>
    </row>
    <row r="215">
      <c r="B215" s="8" t="inlineStr"/>
      <c r="C215" s="11" t="n">
        <v>0</v>
      </c>
      <c r="D215" s="22">
        <f>C215-$C$197</f>
        <v/>
      </c>
      <c r="E215" s="11" t="n">
        <v>0</v>
      </c>
    </row>
    <row r="216">
      <c r="B216" s="8" t="inlineStr"/>
      <c r="C216" s="11" t="n">
        <v>0</v>
      </c>
      <c r="D216" s="22">
        <f>C216-$C$197</f>
        <v/>
      </c>
      <c r="E216" s="11" t="n">
        <v>0</v>
      </c>
    </row>
    <row r="217">
      <c r="B217" s="8" t="inlineStr"/>
      <c r="C217" s="11" t="n">
        <v>0</v>
      </c>
      <c r="D217" s="22">
        <f>C217-$C$197</f>
        <v/>
      </c>
      <c r="E217" s="11" t="n">
        <v>0</v>
      </c>
    </row>
    <row r="218">
      <c r="B218" s="8" t="inlineStr"/>
      <c r="C218" s="11" t="n">
        <v>0</v>
      </c>
      <c r="D218" s="22">
        <f>C218-$C$197</f>
        <v/>
      </c>
      <c r="E218" s="11" t="n">
        <v>0</v>
      </c>
    </row>
    <row r="219">
      <c r="B219" s="5" t="inlineStr">
        <is>
          <t>Each row reruns the explorer model with one change from the scenario as 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2">
      <c r="B2" s="1" t="inlineStr">
        <is>
          <t>NEW HAVEN: one building, prefab modular</t>
        </is>
      </c>
    </row>
    <row r="3">
      <c r="B3" s="2" t="inlineStr"/>
    </row>
    <row r="5">
      <c r="B5" s="6" t="inlineStr">
        <is>
          <t>1. SCENARIO</t>
        </is>
      </c>
      <c r="C5" s="7" t="n"/>
      <c r="D5" s="7" t="n"/>
      <c r="E5" s="7" t="n"/>
      <c r="F5" s="7" t="n"/>
      <c r="G5" s="7" t="n"/>
      <c r="H5" s="7" t="n"/>
      <c r="I5" s="7" t="n"/>
    </row>
    <row r="6">
      <c r="B6" s="3" t="inlineStr">
        <is>
          <t>City</t>
        </is>
      </c>
      <c r="C6" s="8" t="inlineStr"/>
    </row>
    <row r="7">
      <c r="B7" s="3" t="inlineStr">
        <is>
          <t>Building design</t>
        </is>
      </c>
      <c r="C7" s="8" t="inlineStr"/>
    </row>
    <row r="8">
      <c r="B8" s="3" t="inlineStr">
        <is>
          <t>Total units in the building</t>
        </is>
      </c>
      <c r="C8" s="9" t="n">
        <v>0</v>
      </c>
    </row>
    <row r="9">
      <c r="B9" s="3" t="inlineStr">
        <is>
          <t>Owner unit bedrooms</t>
        </is>
      </c>
      <c r="C9" s="8" t="inlineStr"/>
    </row>
    <row r="10">
      <c r="B10" s="3" t="inlineStr">
        <is>
          <t>Rental unit bedrooms</t>
        </is>
      </c>
      <c r="C10" s="8" t="inlineStr"/>
    </row>
    <row r="11">
      <c r="B11" s="3" t="inlineStr">
        <is>
          <t>Owner household income target</t>
        </is>
      </c>
      <c r="C11" s="10" t="n">
        <v>0</v>
      </c>
      <c r="E11" s="5" t="inlineStr">
        <is>
          <t>% of AMI</t>
        </is>
      </c>
    </row>
    <row r="12">
      <c r="B12" s="3" t="inlineStr">
        <is>
          <t>Owner household size</t>
        </is>
      </c>
      <c r="C12" s="9" t="n">
        <v>0</v>
      </c>
    </row>
    <row r="13">
      <c r="B13" s="3" t="inlineStr">
        <is>
          <t>Rental unit rent target</t>
        </is>
      </c>
      <c r="C13" s="10" t="n">
        <v>0</v>
      </c>
      <c r="E13" s="5" t="inlineStr">
        <is>
          <t>% of AMI; 0% = market rent</t>
        </is>
      </c>
    </row>
    <row r="14">
      <c r="B14" s="3" t="inlineStr">
        <is>
          <t>Cap the AMI rent at market rent?</t>
        </is>
      </c>
      <c r="C14" s="8" t="inlineStr"/>
    </row>
    <row r="15">
      <c r="B15" s="3" t="inlineStr">
        <is>
          <t>Construction method</t>
        </is>
      </c>
      <c r="C15" s="8" t="inlineStr"/>
    </row>
    <row r="16">
      <c r="B16" s="3" t="inlineStr">
        <is>
          <t>Order volume (buildings ordered together)</t>
        </is>
      </c>
      <c r="C16" s="9" t="n">
        <v>0</v>
      </c>
    </row>
    <row r="17">
      <c r="B17" s="3" t="inlineStr">
        <is>
          <t>Appraisal basis</t>
        </is>
      </c>
      <c r="C17" s="8" t="inlineStr"/>
    </row>
    <row r="18">
      <c r="B18" s="3" t="inlineStr">
        <is>
          <t>Property tax assessed on</t>
        </is>
      </c>
      <c r="C18" s="8" t="inlineStr"/>
    </row>
    <row r="20">
      <c r="B20" s="6" t="inlineStr">
        <is>
          <t>2. CITY DATA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B21" s="3" t="inlineStr">
        <is>
          <t>HUD 50% income limit, 4-person</t>
        </is>
      </c>
      <c r="C21" s="11" t="n">
        <v>0</v>
      </c>
      <c r="E21" s="5" t="inlineStr">
        <is>
          <t>HUD FY2026 Section 8 limits</t>
        </is>
      </c>
    </row>
    <row r="22">
      <c r="B22" s="3" t="inlineStr">
        <is>
          <t>100% AMI used in the model (2 x 50% limit)</t>
        </is>
      </c>
      <c r="C22" s="11" t="n">
        <v>0</v>
      </c>
    </row>
    <row r="23">
      <c r="B23" s="5" t="inlineStr">
        <is>
          <t>Bedrooms</t>
        </is>
      </c>
      <c r="C23" s="12" t="inlineStr">
        <is>
          <t>Studio</t>
        </is>
      </c>
      <c r="D23" s="12" t="inlineStr">
        <is>
          <t>1BR</t>
        </is>
      </c>
      <c r="E23" s="12" t="inlineStr">
        <is>
          <t>2BR</t>
        </is>
      </c>
      <c r="F23" s="12" t="inlineStr">
        <is>
          <t>3BR</t>
        </is>
      </c>
      <c r="G23" s="12" t="inlineStr">
        <is>
          <t>4BR</t>
        </is>
      </c>
    </row>
    <row r="24">
      <c r="B24" s="3" t="inlineStr">
        <is>
          <t>Market asking rent by bedroom count ($ per month)</t>
        </is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</row>
    <row r="25">
      <c r="B25" s="5" t="inlineStr">
        <is>
          <t>Building size</t>
        </is>
      </c>
      <c r="C25" s="12" t="inlineStr">
        <is>
          <t>2-unit</t>
        </is>
      </c>
      <c r="D25" s="12" t="inlineStr">
        <is>
          <t>3-unit</t>
        </is>
      </c>
      <c r="E25" s="12" t="inlineStr">
        <is>
          <t>4-6 unit</t>
        </is>
      </c>
    </row>
    <row r="26">
      <c r="B26" s="3" t="inlineStr">
        <is>
          <t>Median sale, existing buildings (CT CAMA 2023-26)</t>
        </is>
      </c>
      <c r="C26" s="11" t="n">
        <v>0</v>
      </c>
      <c r="D26" s="11" t="n">
        <v>0</v>
      </c>
      <c r="E26" s="11" t="n">
        <v>0</v>
      </c>
    </row>
    <row r="27">
      <c r="B27" s="3" t="inlineStr">
        <is>
          <t>Size-adjusted new-build value (base case)</t>
        </is>
      </c>
      <c r="C27" s="11" t="n">
        <v>0</v>
      </c>
    </row>
    <row r="28">
      <c r="B28" s="3" t="inlineStr">
        <is>
          <t>DOH new-build precedent</t>
        </is>
      </c>
      <c r="C28" s="11" t="n">
        <v>0</v>
      </c>
    </row>
    <row r="29">
      <c r="B29" s="3" t="inlineStr">
        <is>
          <t>Assessment ratio used</t>
        </is>
      </c>
      <c r="C29" s="13" t="n">
        <v>0</v>
      </c>
    </row>
    <row r="30">
      <c r="B30" s="3" t="inlineStr">
        <is>
          <t>Mill rate</t>
        </is>
      </c>
      <c r="C30" s="14" t="n">
        <v>0</v>
      </c>
      <c r="E30" s="5" t="inlineStr">
        <is>
          <t>$ per $1,000 assessed</t>
        </is>
      </c>
    </row>
    <row r="31">
      <c r="B31" s="3" t="inlineStr">
        <is>
          <t>Effective property tax rate</t>
        </is>
      </c>
      <c r="C31" s="13" t="n">
        <v>0</v>
      </c>
    </row>
    <row r="32">
      <c r="B32" s="3" t="inlineStr">
        <is>
          <t>Homeowner insurance ($ per unit per year)</t>
        </is>
      </c>
      <c r="C32" s="11" t="n">
        <v>0</v>
      </c>
    </row>
    <row r="33">
      <c r="B33" s="3" t="inlineStr">
        <is>
          <t>Land acquisition and closing ($ per building)</t>
        </is>
      </c>
      <c r="C33" s="11" t="n">
        <v>0</v>
      </c>
    </row>
    <row r="35">
      <c r="B35" s="6" t="inlineStr">
        <is>
          <t>3. KEY ASSUMPTIONS (full list on Inputs Snapshot)</t>
        </is>
      </c>
      <c r="C35" s="7" t="n"/>
      <c r="D35" s="7" t="n"/>
      <c r="E35" s="7" t="n"/>
      <c r="F35" s="7" t="n"/>
      <c r="G35" s="7" t="n"/>
      <c r="H35" s="7" t="n"/>
      <c r="I35" s="7" t="n"/>
    </row>
    <row r="36">
      <c r="B36" s="3" t="inlineStr">
        <is>
          <t>Mortgage rate</t>
        </is>
      </c>
      <c r="C36" s="13" t="n">
        <v>0</v>
      </c>
    </row>
    <row r="37">
      <c r="B37" s="3" t="inlineStr">
        <is>
          <t>Mortgage term (years)</t>
        </is>
      </c>
      <c r="C37" s="9" t="n">
        <v>0</v>
      </c>
    </row>
    <row r="38">
      <c r="B38" s="3" t="inlineStr">
        <is>
          <t>Down payment</t>
        </is>
      </c>
      <c r="C38" s="13" t="n">
        <v>0</v>
      </c>
    </row>
    <row r="39">
      <c r="B39" s="3" t="inlineStr">
        <is>
          <t>FHA mortgage insurance (annual)</t>
        </is>
      </c>
      <c r="C39" s="13" t="n">
        <v>0</v>
      </c>
    </row>
    <row r="40">
      <c r="B40" s="3" t="inlineStr">
        <is>
          <t>Lender credit on rental income</t>
        </is>
      </c>
      <c r="C40" s="10" t="n">
        <v>0</v>
      </c>
    </row>
    <row r="41">
      <c r="B41" s="3" t="inlineStr">
        <is>
          <t>Lender test cap, % of qualifying income</t>
        </is>
      </c>
      <c r="C41" s="10" t="n">
        <v>0</v>
      </c>
    </row>
    <row r="42">
      <c r="B42" s="3" t="inlineStr">
        <is>
          <t>Owner test cap, % of own income</t>
        </is>
      </c>
      <c r="C42" s="10" t="n">
        <v>0</v>
      </c>
    </row>
    <row r="43">
      <c r="B43" s="3" t="inlineStr">
        <is>
          <t>Rent + utilities as % of renter income</t>
        </is>
      </c>
      <c r="C43" s="13" t="n">
        <v>0</v>
      </c>
    </row>
    <row r="44">
      <c r="B44" s="3" t="inlineStr">
        <is>
          <t>Tenant utility allowance (rental unit)</t>
        </is>
      </c>
      <c r="C44" s="11" t="n">
        <v>0</v>
      </c>
    </row>
    <row r="45">
      <c r="B45" s="3" t="inlineStr">
        <is>
          <t>Vacancy and collection loss</t>
        </is>
      </c>
      <c r="C45" s="13" t="n">
        <v>0</v>
      </c>
    </row>
    <row r="46">
      <c r="B46" s="3" t="inlineStr">
        <is>
          <t>Maintenance and reserve (% of value per year)</t>
        </is>
      </c>
      <c r="C46" s="13" t="n">
        <v>0</v>
      </c>
    </row>
    <row r="47">
      <c r="B47" s="3" t="inlineStr">
        <is>
          <t>Owner energy bills ($ per month)</t>
        </is>
      </c>
      <c r="C47" s="11" t="n">
        <v>0</v>
      </c>
    </row>
    <row r="48">
      <c r="B48" s="3" t="inlineStr">
        <is>
          <t>Owner-paid common utilities ($ per unit per month)</t>
        </is>
      </c>
      <c r="C48" s="11" t="n">
        <v>0</v>
      </c>
    </row>
    <row r="49">
      <c r="B49" s="3" t="inlineStr">
        <is>
          <t>Gross-up (net to gross sq ft)</t>
        </is>
      </c>
      <c r="C49" s="14" t="n">
        <v>0</v>
      </c>
    </row>
    <row r="50">
      <c r="B50" s="3" t="inlineStr">
        <is>
          <t>Hard-cost contingency</t>
        </is>
      </c>
      <c r="C50" s="13" t="n">
        <v>0</v>
      </c>
    </row>
    <row r="51">
      <c r="B51" s="3" t="inlineStr">
        <is>
          <t>Soft-cost contingency</t>
        </is>
      </c>
      <c r="C51" s="13" t="n">
        <v>0</v>
      </c>
    </row>
    <row r="52">
      <c r="B52" s="3" t="inlineStr">
        <is>
          <t>Construction loan rate</t>
        </is>
      </c>
      <c r="C52" s="13" t="n">
        <v>0</v>
      </c>
    </row>
    <row r="53">
      <c r="B53" s="3" t="inlineStr">
        <is>
          <t>Developer fee (% of cost)</t>
        </is>
      </c>
      <c r="C53" s="13" t="n">
        <v>0</v>
      </c>
    </row>
    <row r="55">
      <c r="B55" s="6" t="inlineStr">
        <is>
          <t>4. CALCULATIONS</t>
        </is>
      </c>
      <c r="C55" s="7" t="n"/>
      <c r="D55" s="7" t="n"/>
      <c r="E55" s="7" t="n"/>
      <c r="F55" s="7" t="n"/>
      <c r="G55" s="7" t="n"/>
      <c r="H55" s="7" t="n"/>
      <c r="I55" s="7" t="n"/>
    </row>
    <row r="56">
      <c r="B56" s="4" t="inlineStr">
        <is>
          <t>Building and development cost</t>
        </is>
      </c>
    </row>
    <row r="57">
      <c r="B57" s="3" t="inlineStr">
        <is>
          <t>Owner unit net sq ft</t>
        </is>
      </c>
      <c r="C57" s="9" t="n">
        <v>0</v>
      </c>
    </row>
    <row r="58">
      <c r="B58" s="3" t="inlineStr">
        <is>
          <t>Rental unit net sq ft (each)</t>
        </is>
      </c>
      <c r="C58" s="9" t="n">
        <v>0</v>
      </c>
    </row>
    <row r="59">
      <c r="B59" s="3" t="inlineStr">
        <is>
          <t>Rented units</t>
        </is>
      </c>
      <c r="C59" s="9" t="n">
        <v>0</v>
      </c>
    </row>
    <row r="60">
      <c r="B60" s="3" t="inlineStr">
        <is>
          <t>Gross sq ft, whole building</t>
        </is>
      </c>
      <c r="C60" s="9" t="n">
        <v>0</v>
      </c>
    </row>
    <row r="61">
      <c r="B61" s="3" t="inlineStr">
        <is>
          <t>Factory cost per gross sq ft (at this order volume)</t>
        </is>
      </c>
      <c r="C61" s="11" t="n">
        <v>0</v>
      </c>
    </row>
    <row r="62">
      <c r="B62" s="3" t="inlineStr">
        <is>
          <t>Field cost per gross sq ft</t>
        </is>
      </c>
      <c r="C62" s="11" t="n">
        <v>0</v>
      </c>
    </row>
    <row r="63">
      <c r="B63" s="3" t="inlineStr">
        <is>
          <t>Transport, crane and set</t>
        </is>
      </c>
      <c r="C63" s="11" t="n">
        <v>0</v>
      </c>
    </row>
    <row r="64">
      <c r="B64" s="3" t="inlineStr">
        <is>
          <t>Building (factory + field + transport, or stick-built)</t>
        </is>
      </c>
      <c r="C64" s="11" t="n">
        <v>0</v>
      </c>
    </row>
    <row r="65">
      <c r="B65" s="3" t="inlineStr">
        <is>
          <t>Add-ons and hard-cost extras</t>
        </is>
      </c>
      <c r="C65" s="11" t="n">
        <v>0</v>
      </c>
    </row>
    <row r="66">
      <c r="B66" s="3" t="inlineStr">
        <is>
          <t>Warehouse and bulk buying (net)</t>
        </is>
      </c>
      <c r="C66" s="11" t="n">
        <v>0</v>
      </c>
    </row>
    <row r="67">
      <c r="B67" s="3" t="inlineStr">
        <is>
          <t>Site work</t>
        </is>
      </c>
      <c r="C67" s="11" t="n">
        <v>0</v>
      </c>
    </row>
    <row r="68">
      <c r="B68" s="3" t="inlineStr">
        <is>
          <t>Hard-cost contingency</t>
        </is>
      </c>
      <c r="C68" s="11" t="n">
        <v>0</v>
      </c>
    </row>
    <row r="69">
      <c r="B69" s="15" t="inlineStr">
        <is>
          <t>Construction cost</t>
        </is>
      </c>
      <c r="C69" s="16" t="n">
        <v>0</v>
      </c>
    </row>
    <row r="70">
      <c r="B70" s="3" t="inlineStr">
        <is>
          <t>Soft costs incl. contingency</t>
        </is>
      </c>
      <c r="C70" s="11" t="n">
        <v>0</v>
      </c>
    </row>
    <row r="71">
      <c r="B71" s="3" t="inlineStr">
        <is>
          <t>Construction loan interest</t>
        </is>
      </c>
      <c r="C71" s="11" t="n">
        <v>0</v>
      </c>
    </row>
    <row r="72">
      <c r="B72" s="3" t="inlineStr">
        <is>
          <t>Carry and land</t>
        </is>
      </c>
      <c r="C72" s="11" t="n">
        <v>0</v>
      </c>
    </row>
    <row r="73">
      <c r="B73" s="3" t="inlineStr">
        <is>
          <t>Developer fee</t>
        </is>
      </c>
      <c r="C73" s="11" t="n">
        <v>0</v>
      </c>
    </row>
    <row r="74">
      <c r="B74" s="15" t="inlineStr">
        <is>
          <t>Total development cost (TDC)</t>
        </is>
      </c>
      <c r="C74" s="16" t="n">
        <v>0</v>
      </c>
    </row>
    <row r="75">
      <c r="B75" s="3" t="inlineStr">
        <is>
          <t>TDC per unit</t>
        </is>
      </c>
      <c r="C75" s="11" t="n">
        <v>0</v>
      </c>
    </row>
    <row r="76">
      <c r="B76" s="3" t="inlineStr">
        <is>
          <t>TDC per gross sq ft</t>
        </is>
      </c>
      <c r="C76" s="11" t="n">
        <v>0</v>
      </c>
    </row>
    <row r="78">
      <c r="B78" s="4" t="inlineStr">
        <is>
          <t>Rent for the rental unit</t>
        </is>
      </c>
    </row>
    <row r="79">
      <c r="B79" s="3" t="inlineStr">
        <is>
          <t>Renter household income at the rent target</t>
        </is>
      </c>
      <c r="C79" s="11" t="n">
        <v>0</v>
      </c>
    </row>
    <row r="80">
      <c r="B80" s="3" t="inlineStr">
        <is>
          <t>AMI rent, net of utilities (what the owner can charge)</t>
        </is>
      </c>
      <c r="C80" s="11" t="n">
        <v>0</v>
      </c>
    </row>
    <row r="81">
      <c r="B81" s="3" t="inlineStr">
        <is>
          <t>Market asking rent, rental bedroom count</t>
        </is>
      </c>
      <c r="C81" s="11" t="n">
        <v>0</v>
      </c>
    </row>
    <row r="82">
      <c r="B82" s="3" t="inlineStr">
        <is>
          <t>Rent charged per rental unit</t>
        </is>
      </c>
      <c r="C82" s="11" t="n">
        <v>0</v>
      </c>
    </row>
    <row r="83">
      <c r="B83" s="3" t="inlineStr">
        <is>
          <t>What sets the rent</t>
        </is>
      </c>
      <c r="C83" s="8" t="inlineStr"/>
    </row>
    <row r="84">
      <c r="B84" s="3" t="inlineStr">
        <is>
          <t>Rent charged as % of renter income</t>
        </is>
      </c>
      <c r="C84" s="13" t="n">
        <v>0</v>
      </c>
    </row>
    <row r="85">
      <c r="B85" s="3" t="inlineStr">
        <is>
          <t>Gross rent, all rental units, per month</t>
        </is>
      </c>
      <c r="C85" s="11" t="n">
        <v>0</v>
      </c>
    </row>
    <row r="86">
      <c r="B86" s="3" t="inlineStr">
        <is>
          <t>Rent collected per month (after vacancy)</t>
        </is>
      </c>
      <c r="C86" s="11" t="n">
        <v>0</v>
      </c>
    </row>
    <row r="87">
      <c r="B87" s="3" t="inlineStr">
        <is>
          <t>Rent a lender counts, per month</t>
        </is>
      </c>
      <c r="C87" s="11" t="n">
        <v>0</v>
      </c>
    </row>
    <row r="89">
      <c r="B89" s="4" t="inlineStr">
        <is>
          <t>What the buyer can pay</t>
        </is>
      </c>
    </row>
    <row r="90">
      <c r="B90" s="3" t="inlineStr">
        <is>
          <t>Owner household income</t>
        </is>
      </c>
      <c r="C90" s="11" t="n">
        <v>0</v>
      </c>
    </row>
    <row r="91">
      <c r="B91" s="3" t="inlineStr">
        <is>
          <t>Property tax per month</t>
        </is>
      </c>
      <c r="C91" s="11" t="n">
        <v>0</v>
      </c>
    </row>
    <row r="92">
      <c r="B92" s="3" t="inlineStr">
        <is>
          <t>Insurance per month</t>
        </is>
      </c>
      <c r="C92" s="11" t="n">
        <v>0</v>
      </c>
    </row>
    <row r="93">
      <c r="B93" s="3" t="inlineStr">
        <is>
          <t>Owner-paid common utilities per month</t>
        </is>
      </c>
      <c r="C93" s="11" t="n">
        <v>0</v>
      </c>
    </row>
    <row r="94">
      <c r="B94" s="3" t="inlineStr">
        <is>
          <t>Owner energy bills per month</t>
        </is>
      </c>
      <c r="C94" s="11" t="n">
        <v>0</v>
      </c>
    </row>
    <row r="95">
      <c r="B95" s="3" t="inlineStr">
        <is>
          <t>Maintenance and reserve per month</t>
        </is>
      </c>
      <c r="C95" s="11" t="n">
        <v>0</v>
      </c>
    </row>
    <row r="96">
      <c r="B96" s="3" t="inlineStr">
        <is>
          <t>Less add-on savings per month</t>
        </is>
      </c>
      <c r="C96" s="11" t="n">
        <v>0</v>
      </c>
    </row>
    <row r="97">
      <c r="B97" s="3" t="inlineStr">
        <is>
          <t>Non-mortgage housing costs per month</t>
        </is>
      </c>
      <c r="C97" s="11" t="n">
        <v>0</v>
      </c>
    </row>
    <row r="98">
      <c r="B98" s="3" t="inlineStr">
        <is>
          <t>Monthly payment per $1 of loan (P&amp;I + FHA insurance)</t>
        </is>
      </c>
      <c r="C98" s="17" t="n">
        <v>0</v>
      </c>
    </row>
    <row r="99">
      <c r="B99" s="3" t="inlineStr">
        <is>
          <t>Lender test: maximum price</t>
        </is>
      </c>
      <c r="C99" s="11" t="n">
        <v>0</v>
      </c>
    </row>
    <row r="100">
      <c r="B100" s="3" t="inlineStr">
        <is>
          <t>Owner test: maximum price</t>
        </is>
      </c>
      <c r="C100" s="11" t="n">
        <v>0</v>
      </c>
    </row>
    <row r="101">
      <c r="B101" s="3" t="inlineStr">
        <is>
          <t>Buyer capacity (lower of the two tests)</t>
        </is>
      </c>
      <c r="C101" s="11" t="n">
        <v>0</v>
      </c>
    </row>
    <row r="102">
      <c r="B102" s="3" t="inlineStr">
        <is>
          <t>Which test binds</t>
        </is>
      </c>
      <c r="C102" s="8" t="inlineStr"/>
    </row>
    <row r="103">
      <c r="B103" s="3" t="inlineStr">
        <is>
          <t>CHFA Time To Own and other buyer assistance</t>
        </is>
      </c>
      <c r="C103" s="11" t="n">
        <v>0</v>
      </c>
    </row>
    <row r="104">
      <c r="B104" s="15" t="inlineStr">
        <is>
          <t>Most the buyer can pay</t>
        </is>
      </c>
      <c r="C104" s="16" t="n">
        <v>0</v>
      </c>
    </row>
    <row r="106">
      <c r="B106" s="6" t="inlineStr">
        <is>
          <t>5. RESULTS</t>
        </is>
      </c>
      <c r="C106" s="7" t="n"/>
      <c r="D106" s="7" t="n"/>
      <c r="E106" s="7" t="n"/>
      <c r="F106" s="7" t="n"/>
      <c r="G106" s="7" t="n"/>
      <c r="H106" s="7" t="n"/>
      <c r="I106" s="7" t="n"/>
    </row>
    <row r="107">
      <c r="B107" s="3" t="inlineStr">
        <is>
          <t>Appraised value</t>
        </is>
      </c>
      <c r="C107" s="11" t="n">
        <v>0</v>
      </c>
    </row>
    <row r="108">
      <c r="B108" s="15" t="inlineStr">
        <is>
          <t>Sales gap (appraisal − what the buyer can pay)</t>
        </is>
      </c>
      <c r="C108" s="16" t="n">
        <v>0</v>
      </c>
    </row>
    <row r="109">
      <c r="B109" s="3" t="inlineStr">
        <is>
          <t>DOH homebuyer subsidy</t>
        </is>
      </c>
      <c r="C109" s="11" t="n">
        <v>0</v>
      </c>
    </row>
    <row r="110">
      <c r="B110" s="3" t="inlineStr">
        <is>
          <t>Sale proceeds to the developer</t>
        </is>
      </c>
      <c r="C110" s="11" t="n">
        <v>0</v>
      </c>
    </row>
    <row r="111">
      <c r="B111" s="3" t="inlineStr">
        <is>
          <t>What the buyer pays (mortgage + down payment)</t>
        </is>
      </c>
      <c r="C111" s="11" t="n">
        <v>0</v>
      </c>
    </row>
    <row r="112">
      <c r="B112" s="15" t="inlineStr">
        <is>
          <t>Developer gap (TDC − sale proceeds)</t>
        </is>
      </c>
      <c r="C112" s="16" t="n">
        <v>0</v>
      </c>
    </row>
    <row r="113">
      <c r="B113" s="3" t="inlineStr">
        <is>
          <t>HDF / C4C grant</t>
        </is>
      </c>
      <c r="C113" s="11" t="n">
        <v>0</v>
      </c>
    </row>
    <row r="114">
      <c r="B114" s="3" t="inlineStr">
        <is>
          <t>FHLBank Boston AHP</t>
        </is>
      </c>
      <c r="C114" s="11" t="n">
        <v>0</v>
      </c>
    </row>
    <row r="115">
      <c r="B115" s="3" t="inlineStr">
        <is>
          <t>HTCC share</t>
        </is>
      </c>
      <c r="C115" s="11" t="n">
        <v>0</v>
      </c>
    </row>
    <row r="116">
      <c r="B116" s="3" t="inlineStr">
        <is>
          <t>New Markets Tax Credits (net, if on)</t>
        </is>
      </c>
      <c r="C116" s="11" t="n">
        <v>0</v>
      </c>
    </row>
    <row r="117">
      <c r="B117" s="3" t="inlineStr">
        <is>
          <t>DOH developer subsidy</t>
        </is>
      </c>
      <c r="C117" s="11" t="n">
        <v>0</v>
      </c>
    </row>
    <row r="118">
      <c r="B118" s="15" t="inlineStr">
        <is>
          <t>Remaining developer gap</t>
        </is>
      </c>
      <c r="C118" s="16" t="n">
        <v>0</v>
      </c>
    </row>
    <row r="119">
      <c r="B119" s="15" t="inlineStr">
        <is>
          <t>Total subsidy needed (TDC − what the buyer pays)</t>
        </is>
      </c>
      <c r="C119" s="16" t="n">
        <v>0</v>
      </c>
    </row>
    <row r="120">
      <c r="B120" s="3" t="inlineStr">
        <is>
          <t>Subsidy needed per unit</t>
        </is>
      </c>
      <c r="C120" s="11" t="n">
        <v>0</v>
      </c>
    </row>
    <row r="121">
      <c r="B121" s="3" t="inlineStr">
        <is>
          <t>Subsidy as % of TDC</t>
        </is>
      </c>
      <c r="C121" s="13" t="n">
        <v>0</v>
      </c>
    </row>
    <row r="122">
      <c r="B122" s="3" t="inlineStr">
        <is>
          <t>Most the buyer can pay as % of the existing-building median</t>
        </is>
      </c>
      <c r="C122" s="13" t="n">
        <v>0</v>
      </c>
    </row>
    <row r="124">
      <c r="B124" s="4" t="inlineStr">
        <is>
          <t>Owner's net monthly housing cost</t>
        </is>
      </c>
    </row>
    <row r="125">
      <c r="B125" s="3" t="inlineStr">
        <is>
          <t>Mortgage payment + FHA insurance</t>
        </is>
      </c>
      <c r="C125" s="11" t="n">
        <v>0</v>
      </c>
    </row>
    <row r="126">
      <c r="B126" s="3" t="inlineStr">
        <is>
          <t>Plus non-mortgage costs (tax, insurance, utilities, reserve, less add-on savings)</t>
        </is>
      </c>
      <c r="C126" s="11" t="n">
        <v>0</v>
      </c>
    </row>
    <row r="127">
      <c r="B127" s="3" t="inlineStr">
        <is>
          <t>Total monthly cost of owning the building</t>
        </is>
      </c>
      <c r="C127" s="11" t="n">
        <v>0</v>
      </c>
    </row>
    <row r="128">
      <c r="B128" s="3" t="inlineStr">
        <is>
          <t>Minus rent collected (after vacancy)</t>
        </is>
      </c>
      <c r="C128" s="11" t="n">
        <v>0</v>
      </c>
    </row>
    <row r="129">
      <c r="B129" s="15" t="inlineStr">
        <is>
          <t>Owner's net monthly cost</t>
        </is>
      </c>
      <c r="C129" s="16" t="n">
        <v>0</v>
      </c>
    </row>
    <row r="130">
      <c r="B130" s="15" t="inlineStr">
        <is>
          <t>Net cost as % of owner income</t>
        </is>
      </c>
      <c r="C130" s="18" t="n">
        <v>0</v>
      </c>
    </row>
    <row r="131">
      <c r="B131" s="3" t="inlineStr">
        <is>
          <t>Residual income after housing and MIT living costs ($ per year)</t>
        </is>
      </c>
      <c r="C131" s="11" t="n">
        <v>0</v>
      </c>
    </row>
    <row r="132">
      <c r="B132" s="3" t="inlineStr">
        <is>
          <t>Energy burden</t>
        </is>
      </c>
      <c r="C132" s="13" t="n">
        <v>0</v>
      </c>
    </row>
    <row r="134">
      <c r="B134" s="6" t="inlineStr">
        <is>
          <t>6. USES VS. SOURCES (chart data)</t>
        </is>
      </c>
      <c r="C134" s="7" t="n"/>
      <c r="D134" s="7" t="n"/>
      <c r="E134" s="7" t="n"/>
      <c r="F134" s="7" t="n"/>
      <c r="G134" s="7" t="n"/>
      <c r="H134" s="7" t="n"/>
      <c r="I134" s="7" t="n"/>
    </row>
    <row r="135">
      <c r="C135" s="12" t="inlineStr">
        <is>
          <t>Uses</t>
        </is>
      </c>
      <c r="D135" s="12" t="inlineStr">
        <is>
          <t>Sources</t>
        </is>
      </c>
    </row>
    <row r="136">
      <c r="B136" s="3" t="inlineStr">
        <is>
          <t>Building</t>
        </is>
      </c>
      <c r="C136" s="11" t="n">
        <v>0</v>
      </c>
      <c r="D136" s="11" t="n">
        <v>0</v>
      </c>
    </row>
    <row r="137">
      <c r="B137" s="3" t="inlineStr">
        <is>
          <t>Add-ons and warehouse</t>
        </is>
      </c>
      <c r="C137" s="11" t="n">
        <v>0</v>
      </c>
      <c r="D137" s="11" t="n">
        <v>0</v>
      </c>
    </row>
    <row r="138">
      <c r="B138" s="3" t="inlineStr">
        <is>
          <t>Site work and hard contingency</t>
        </is>
      </c>
      <c r="C138" s="11" t="n">
        <v>0</v>
      </c>
      <c r="D138" s="11" t="n">
        <v>0</v>
      </c>
    </row>
    <row r="139">
      <c r="B139" s="3" t="inlineStr">
        <is>
          <t>Soft costs</t>
        </is>
      </c>
      <c r="C139" s="11" t="n">
        <v>0</v>
      </c>
      <c r="D139" s="11" t="n">
        <v>0</v>
      </c>
    </row>
    <row r="140">
      <c r="B140" s="3" t="inlineStr">
        <is>
          <t>Construction loan, carry and land</t>
        </is>
      </c>
      <c r="C140" s="11" t="n">
        <v>0</v>
      </c>
      <c r="D140" s="11" t="n">
        <v>0</v>
      </c>
    </row>
    <row r="141">
      <c r="B141" s="3" t="inlineStr">
        <is>
          <t>Developer fee</t>
        </is>
      </c>
      <c r="C141" s="11" t="n">
        <v>0</v>
      </c>
      <c r="D141" s="11" t="n">
        <v>0</v>
      </c>
    </row>
    <row r="142">
      <c r="B142" s="3" t="inlineStr">
        <is>
          <t>Buyer down payment</t>
        </is>
      </c>
      <c r="C142" s="11" t="n">
        <v>0</v>
      </c>
      <c r="D142" s="11" t="n">
        <v>0</v>
      </c>
    </row>
    <row r="143">
      <c r="B143" s="3" t="inlineStr">
        <is>
          <t>Buyer mortgage</t>
        </is>
      </c>
      <c r="C143" s="11" t="n">
        <v>0</v>
      </c>
      <c r="D143" s="11" t="n">
        <v>0</v>
      </c>
    </row>
    <row r="144">
      <c r="B144" s="3" t="inlineStr">
        <is>
          <t>Buyer assistance (Time To Own)</t>
        </is>
      </c>
      <c r="C144" s="11" t="n">
        <v>0</v>
      </c>
      <c r="D144" s="11" t="n">
        <v>0</v>
      </c>
    </row>
    <row r="145">
      <c r="B145" s="3" t="inlineStr">
        <is>
          <t>DOH homebuyer subsidy</t>
        </is>
      </c>
      <c r="C145" s="11" t="n">
        <v>0</v>
      </c>
      <c r="D145" s="11" t="n">
        <v>0</v>
      </c>
    </row>
    <row r="146">
      <c r="B146" s="3" t="inlineStr">
        <is>
          <t>HDF / C4C grant</t>
        </is>
      </c>
      <c r="C146" s="11" t="n">
        <v>0</v>
      </c>
      <c r="D146" s="11" t="n">
        <v>0</v>
      </c>
    </row>
    <row r="147">
      <c r="B147" s="3" t="inlineStr">
        <is>
          <t>FHLBank Boston AHP</t>
        </is>
      </c>
      <c r="C147" s="11" t="n">
        <v>0</v>
      </c>
      <c r="D147" s="11" t="n">
        <v>0</v>
      </c>
    </row>
    <row r="148">
      <c r="B148" s="3" t="inlineStr">
        <is>
          <t>HTCC share</t>
        </is>
      </c>
      <c r="C148" s="11" t="n">
        <v>0</v>
      </c>
      <c r="D148" s="11" t="n">
        <v>0</v>
      </c>
    </row>
    <row r="149">
      <c r="B149" s="3" t="inlineStr">
        <is>
          <t>New Markets Tax Credits</t>
        </is>
      </c>
      <c r="C149" s="11" t="n">
        <v>0</v>
      </c>
      <c r="D149" s="11" t="n">
        <v>0</v>
      </c>
    </row>
    <row r="150">
      <c r="B150" s="3" t="inlineStr">
        <is>
          <t>DOH developer subsidy</t>
        </is>
      </c>
      <c r="C150" s="11" t="n">
        <v>0</v>
      </c>
      <c r="D150" s="11" t="n">
        <v>0</v>
      </c>
    </row>
    <row r="151">
      <c r="B151" s="3" t="inlineStr">
        <is>
          <t>Remaining gap</t>
        </is>
      </c>
      <c r="C151" s="11" t="n">
        <v>0</v>
      </c>
      <c r="D151" s="11" t="n">
        <v>0</v>
      </c>
    </row>
    <row r="152">
      <c r="B152" s="4" t="inlineStr">
        <is>
          <t>Total</t>
        </is>
      </c>
      <c r="C152" s="19">
        <f>SUM(C136:C151)</f>
        <v/>
      </c>
      <c r="D152" s="19">
        <f>SUM(D136:D151)</f>
        <v/>
      </c>
    </row>
    <row r="153">
      <c r="B153" s="5" t="inlineStr">
        <is>
          <t>Check: sources minus uses (0, or a surplus when the sale covers the cost)</t>
        </is>
      </c>
      <c r="C153" s="20">
        <f>D152-C152</f>
        <v/>
      </c>
    </row>
    <row r="155">
      <c r="B155" s="6" t="inlineStr">
        <is>
          <t>7. FUNDING WATERFALL (caps and precedents, not awards)</t>
        </is>
      </c>
      <c r="C155" s="7" t="n"/>
      <c r="D155" s="7" t="n"/>
      <c r="E155" s="7" t="n"/>
      <c r="F155" s="7" t="n"/>
      <c r="G155" s="7" t="n"/>
      <c r="H155" s="7" t="n"/>
      <c r="I155" s="7" t="n"/>
    </row>
    <row r="156">
      <c r="C156" s="12" t="inlineStr">
        <is>
          <t>Amount</t>
        </is>
      </c>
      <c r="D156" s="12" t="inlineStr">
        <is>
          <t>Chart: base</t>
        </is>
      </c>
      <c r="E156" s="12" t="inlineStr">
        <is>
          <t>Chart: bar</t>
        </is>
      </c>
    </row>
    <row r="157">
      <c r="B157" s="3" t="inlineStr">
        <is>
          <t>Total development cost</t>
        </is>
      </c>
      <c r="C157" s="11" t="n">
        <v>0</v>
      </c>
      <c r="D157" s="11" t="n">
        <v>0</v>
      </c>
      <c r="E157" s="11">
        <f>C157</f>
        <v/>
      </c>
    </row>
    <row r="158">
      <c r="B158" s="3" t="inlineStr">
        <is>
          <t>Buyer mortgage + down payment</t>
        </is>
      </c>
      <c r="C158" s="11" t="n">
        <v>0</v>
      </c>
      <c r="D158" s="11">
        <f>MAX(0,$C$157-SUM($C$158:C158))</f>
        <v/>
      </c>
      <c r="E158" s="11">
        <f>MIN(C158,$C$157)</f>
        <v/>
      </c>
    </row>
    <row r="159">
      <c r="B159" s="3" t="inlineStr">
        <is>
          <t>Time To Own</t>
        </is>
      </c>
      <c r="C159" s="11" t="n">
        <v>0</v>
      </c>
      <c r="D159" s="11">
        <f>MAX(0,$C$157-SUM($C$158:C159))</f>
        <v/>
      </c>
      <c r="E159" s="11">
        <f>MIN(C159,MAX(0,$C$157-SUM($C$158:C158)))</f>
        <v/>
      </c>
    </row>
    <row r="160">
      <c r="B160" s="3" t="inlineStr">
        <is>
          <t>DOH homebuyer subsidy</t>
        </is>
      </c>
      <c r="C160" s="11" t="n">
        <v>0</v>
      </c>
      <c r="D160" s="11">
        <f>MAX(0,$C$157-SUM($C$158:C160))</f>
        <v/>
      </c>
      <c r="E160" s="11">
        <f>MIN(C160,MAX(0,$C$157-SUM($C$158:C159)))</f>
        <v/>
      </c>
    </row>
    <row r="161">
      <c r="B161" s="3" t="inlineStr">
        <is>
          <t>HDF / C4C grant</t>
        </is>
      </c>
      <c r="C161" s="11" t="n">
        <v>0</v>
      </c>
      <c r="D161" s="11">
        <f>MAX(0,$C$157-SUM($C$158:C161))</f>
        <v/>
      </c>
      <c r="E161" s="11">
        <f>MIN(C161,MAX(0,$C$157-SUM($C$158:C160)))</f>
        <v/>
      </c>
    </row>
    <row r="162">
      <c r="B162" s="3" t="inlineStr">
        <is>
          <t>FHLBank Boston AHP</t>
        </is>
      </c>
      <c r="C162" s="11" t="n">
        <v>0</v>
      </c>
      <c r="D162" s="11">
        <f>MAX(0,$C$157-SUM($C$158:C162))</f>
        <v/>
      </c>
      <c r="E162" s="11">
        <f>MIN(C162,MAX(0,$C$157-SUM($C$158:C161)))</f>
        <v/>
      </c>
    </row>
    <row r="163">
      <c r="B163" s="3" t="inlineStr">
        <is>
          <t>HTCC share</t>
        </is>
      </c>
      <c r="C163" s="11" t="n">
        <v>0</v>
      </c>
      <c r="D163" s="11">
        <f>MAX(0,$C$157-SUM($C$158:C163))</f>
        <v/>
      </c>
      <c r="E163" s="11">
        <f>MIN(C163,MAX(0,$C$157-SUM($C$158:C162)))</f>
        <v/>
      </c>
    </row>
    <row r="164">
      <c r="B164" s="3" t="inlineStr">
        <is>
          <t>New Markets Tax Credits</t>
        </is>
      </c>
      <c r="C164" s="11" t="n">
        <v>0</v>
      </c>
      <c r="D164" s="11">
        <f>MAX(0,$C$157-SUM($C$158:C164))</f>
        <v/>
      </c>
      <c r="E164" s="11">
        <f>MIN(C164,MAX(0,$C$157-SUM($C$158:C163)))</f>
        <v/>
      </c>
    </row>
    <row r="165">
      <c r="B165" s="3" t="inlineStr">
        <is>
          <t>DOH developer subsidy</t>
        </is>
      </c>
      <c r="C165" s="11" t="n">
        <v>0</v>
      </c>
      <c r="D165" s="11">
        <f>MAX(0,$C$157-SUM($C$158:C165))</f>
        <v/>
      </c>
      <c r="E165" s="11">
        <f>MIN(C165,MAX(0,$C$157-SUM($C$158:C164)))</f>
        <v/>
      </c>
    </row>
    <row r="166">
      <c r="B166" s="3" t="inlineStr">
        <is>
          <t>Remaining gap</t>
        </is>
      </c>
      <c r="C166" s="11" t="n">
        <v>0</v>
      </c>
      <c r="D166" s="11" t="n">
        <v>0</v>
      </c>
      <c r="E166" s="11">
        <f>C166</f>
        <v/>
      </c>
    </row>
    <row r="167">
      <c r="B167" s="5" t="inlineStr">
        <is>
          <t>Program amounts are caps and precedents, not awards. Whether HDF, AHP, HTCC and DOH can fund the same home is unconfirmed.</t>
        </is>
      </c>
    </row>
    <row r="169">
      <c r="B169" s="6" t="inlineStr">
        <is>
          <t>8. SENSITIVITY: owner income target (everything else as set)</t>
        </is>
      </c>
      <c r="C169" s="7" t="n"/>
      <c r="D169" s="7" t="n"/>
      <c r="E169" s="7" t="n"/>
      <c r="F169" s="7" t="n"/>
      <c r="G169" s="7" t="n"/>
      <c r="H169" s="7" t="n"/>
      <c r="I169" s="7" t="n"/>
    </row>
    <row r="170">
      <c r="B170" s="4" t="inlineStr">
        <is>
          <t>Owner income, % of AMI</t>
        </is>
      </c>
      <c r="C170" s="21" t="n">
        <v>0.5</v>
      </c>
      <c r="D170" s="21" t="n">
        <v>0.6</v>
      </c>
      <c r="E170" s="21" t="n">
        <v>0.7</v>
      </c>
      <c r="F170" s="21" t="n">
        <v>0.8</v>
      </c>
      <c r="G170" s="21" t="n">
        <v>0.9</v>
      </c>
      <c r="H170" s="21" t="n">
        <v>1</v>
      </c>
      <c r="I170" s="21" t="n">
        <v>1.2</v>
      </c>
    </row>
    <row r="171">
      <c r="B171" s="3" t="inlineStr">
        <is>
          <t>Owner household income</t>
        </is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</row>
    <row r="172">
      <c r="B172" s="3" t="inlineStr">
        <is>
          <t>Lender test: maximum price</t>
        </is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</row>
    <row r="173">
      <c r="B173" s="3" t="inlineStr">
        <is>
          <t>Owner test: maximum price</t>
        </is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</row>
    <row r="174">
      <c r="B174" s="3" t="inlineStr">
        <is>
          <t>Most the buyer can pay (incl. Time To Own)</t>
        </is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</row>
    <row r="175">
      <c r="B175" s="3" t="inlineStr">
        <is>
          <t>Appraised value</t>
        </is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</row>
    <row r="176">
      <c r="B176" s="3" t="inlineStr">
        <is>
          <t>Sales gap</t>
        </is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</row>
    <row r="177">
      <c r="B177" s="3" t="inlineStr">
        <is>
          <t>Remaining developer gap</t>
        </is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</row>
    <row r="178">
      <c r="B178" s="3" t="inlineStr">
        <is>
          <t>Subsidy needed per unit</t>
        </is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</row>
    <row r="179">
      <c r="B179" s="3" t="inlineStr">
        <is>
          <t>Owner's net monthly cost</t>
        </is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</row>
    <row r="180">
      <c r="B180" s="3" t="inlineStr">
        <is>
          <t>Net cost as % of income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</row>
    <row r="182">
      <c r="B182" s="6" t="inlineStr">
        <is>
          <t>9. BUILDING SIZE: modular vs. stick-built (same city data and inputs)</t>
        </is>
      </c>
      <c r="C182" s="7" t="n"/>
      <c r="D182" s="7" t="n"/>
      <c r="E182" s="7" t="n"/>
      <c r="F182" s="7" t="n"/>
      <c r="G182" s="7" t="n"/>
      <c r="H182" s="7" t="n"/>
      <c r="I182" s="7" t="n"/>
    </row>
    <row r="183">
      <c r="B183" s="4" t="inlineStr">
        <is>
          <t>Units in the building</t>
        </is>
      </c>
      <c r="C183" s="12" t="n">
        <v>2</v>
      </c>
      <c r="D183" s="12" t="n">
        <v>3</v>
      </c>
      <c r="E183" s="12" t="n">
        <v>4</v>
      </c>
    </row>
    <row r="184">
      <c r="B184" s="3" t="inlineStr">
        <is>
          <t>Gross sq ft</t>
        </is>
      </c>
      <c r="C184" s="9" t="n">
        <v>0</v>
      </c>
      <c r="D184" s="9" t="n">
        <v>0</v>
      </c>
      <c r="E184" s="9" t="n">
        <v>0</v>
      </c>
    </row>
    <row r="185">
      <c r="B185" s="3" t="inlineStr">
        <is>
          <t>Modular TDC</t>
        </is>
      </c>
      <c r="C185" s="11" t="n">
        <v>0</v>
      </c>
      <c r="D185" s="11" t="n">
        <v>0</v>
      </c>
      <c r="E185" s="11" t="n">
        <v>0</v>
      </c>
    </row>
    <row r="186">
      <c r="B186" s="3" t="inlineStr">
        <is>
          <t>Modular TDC per unit</t>
        </is>
      </c>
      <c r="C186" s="11" t="n">
        <v>0</v>
      </c>
      <c r="D186" s="11" t="n">
        <v>0</v>
      </c>
      <c r="E186" s="11" t="n">
        <v>0</v>
      </c>
    </row>
    <row r="187">
      <c r="B187" s="3" t="inlineStr">
        <is>
          <t>Stick-built TDC</t>
        </is>
      </c>
      <c r="C187" s="11" t="n">
        <v>0</v>
      </c>
      <c r="D187" s="11" t="n">
        <v>0</v>
      </c>
      <c r="E187" s="11" t="n">
        <v>0</v>
      </c>
    </row>
    <row r="188">
      <c r="B188" s="3" t="inlineStr">
        <is>
          <t>Stick-built TDC per unit</t>
        </is>
      </c>
      <c r="C188" s="11" t="n">
        <v>0</v>
      </c>
      <c r="D188" s="11" t="n">
        <v>0</v>
      </c>
      <c r="E188" s="11" t="n">
        <v>0</v>
      </c>
    </row>
    <row r="189">
      <c r="B189" s="3" t="inlineStr">
        <is>
          <t>Modular saving per unit</t>
        </is>
      </c>
      <c r="C189" s="13" t="n">
        <v>0</v>
      </c>
      <c r="D189" s="13" t="n">
        <v>0</v>
      </c>
      <c r="E189" s="13" t="n">
        <v>0</v>
      </c>
    </row>
    <row r="190">
      <c r="B190" s="3" t="inlineStr">
        <is>
          <t>Appraised value used</t>
        </is>
      </c>
      <c r="C190" s="11" t="n">
        <v>0</v>
      </c>
      <c r="D190" s="11" t="n">
        <v>0</v>
      </c>
      <c r="E190" s="11" t="n">
        <v>0</v>
      </c>
    </row>
    <row r="191">
      <c r="B191" s="3" t="inlineStr">
        <is>
          <t>Modular subsidy needed per unit</t>
        </is>
      </c>
      <c r="C191" s="11" t="n">
        <v>0</v>
      </c>
      <c r="D191" s="11" t="n">
        <v>0</v>
      </c>
      <c r="E191" s="11" t="n">
        <v>0</v>
      </c>
    </row>
    <row r="192">
      <c r="B192" s="3" t="inlineStr">
        <is>
          <t>Modular remaining developer gap</t>
        </is>
      </c>
      <c r="C192" s="11" t="n">
        <v>0</v>
      </c>
      <c r="D192" s="11" t="n">
        <v>0</v>
      </c>
      <c r="E192" s="11" t="n">
        <v>0</v>
      </c>
    </row>
    <row r="193">
      <c r="B193" s="5" t="inlineStr">
        <is>
          <t>Modular = the construction method set in the explorer (Reframe unless changed). The appraisal stays at the value set for the base building.</t>
        </is>
      </c>
    </row>
    <row r="195">
      <c r="B195" s="6" t="inlineStr">
        <is>
          <t>10. WHAT MOVES THE REMAINING GAP: one change at a time</t>
        </is>
      </c>
      <c r="C195" s="7" t="n"/>
      <c r="D195" s="7" t="n"/>
      <c r="E195" s="7" t="n"/>
      <c r="F195" s="7" t="n"/>
      <c r="G195" s="7" t="n"/>
      <c r="H195" s="7" t="n"/>
      <c r="I195" s="7" t="n"/>
    </row>
    <row r="196">
      <c r="C196" s="12" t="inlineStr">
        <is>
          <t>Remaining gap</t>
        </is>
      </c>
      <c r="D196" s="12" t="inlineStr">
        <is>
          <t>Change vs. as set</t>
        </is>
      </c>
      <c r="E196" s="12" t="inlineStr">
        <is>
          <t>Subsidy needed</t>
        </is>
      </c>
    </row>
    <row r="197">
      <c r="B197" s="4" t="inlineStr">
        <is>
          <t>As set at export</t>
        </is>
      </c>
      <c r="C197" s="19" t="n">
        <v>0</v>
      </c>
      <c r="D197" s="20" t="n">
        <v>0</v>
      </c>
      <c r="E197" s="11" t="n">
        <v>0</v>
      </c>
    </row>
    <row r="198">
      <c r="B198" s="8" t="inlineStr"/>
      <c r="C198" s="11" t="n">
        <v>0</v>
      </c>
      <c r="D198" s="22">
        <f>C198-$C$197</f>
        <v/>
      </c>
      <c r="E198" s="11" t="n">
        <v>0</v>
      </c>
    </row>
    <row r="199">
      <c r="B199" s="8" t="inlineStr"/>
      <c r="C199" s="11" t="n">
        <v>0</v>
      </c>
      <c r="D199" s="22">
        <f>C199-$C$197</f>
        <v/>
      </c>
      <c r="E199" s="11" t="n">
        <v>0</v>
      </c>
    </row>
    <row r="200">
      <c r="B200" s="8" t="inlineStr"/>
      <c r="C200" s="11" t="n">
        <v>0</v>
      </c>
      <c r="D200" s="22">
        <f>C200-$C$197</f>
        <v/>
      </c>
      <c r="E200" s="11" t="n">
        <v>0</v>
      </c>
    </row>
    <row r="201">
      <c r="B201" s="8" t="inlineStr"/>
      <c r="C201" s="11" t="n">
        <v>0</v>
      </c>
      <c r="D201" s="22">
        <f>C201-$C$197</f>
        <v/>
      </c>
      <c r="E201" s="11" t="n">
        <v>0</v>
      </c>
    </row>
    <row r="202">
      <c r="B202" s="8" t="inlineStr"/>
      <c r="C202" s="11" t="n">
        <v>0</v>
      </c>
      <c r="D202" s="22">
        <f>C202-$C$197</f>
        <v/>
      </c>
      <c r="E202" s="11" t="n">
        <v>0</v>
      </c>
    </row>
    <row r="203">
      <c r="B203" s="8" t="inlineStr"/>
      <c r="C203" s="11" t="n">
        <v>0</v>
      </c>
      <c r="D203" s="22">
        <f>C203-$C$197</f>
        <v/>
      </c>
      <c r="E203" s="11" t="n">
        <v>0</v>
      </c>
    </row>
    <row r="204">
      <c r="B204" s="8" t="inlineStr"/>
      <c r="C204" s="11" t="n">
        <v>0</v>
      </c>
      <c r="D204" s="22">
        <f>C204-$C$197</f>
        <v/>
      </c>
      <c r="E204" s="11" t="n">
        <v>0</v>
      </c>
    </row>
    <row r="205">
      <c r="B205" s="8" t="inlineStr"/>
      <c r="C205" s="11" t="n">
        <v>0</v>
      </c>
      <c r="D205" s="22">
        <f>C205-$C$197</f>
        <v/>
      </c>
      <c r="E205" s="11" t="n">
        <v>0</v>
      </c>
    </row>
    <row r="206">
      <c r="B206" s="8" t="inlineStr"/>
      <c r="C206" s="11" t="n">
        <v>0</v>
      </c>
      <c r="D206" s="22">
        <f>C206-$C$197</f>
        <v/>
      </c>
      <c r="E206" s="11" t="n">
        <v>0</v>
      </c>
    </row>
    <row r="207">
      <c r="B207" s="8" t="inlineStr"/>
      <c r="C207" s="11" t="n">
        <v>0</v>
      </c>
      <c r="D207" s="22">
        <f>C207-$C$197</f>
        <v/>
      </c>
      <c r="E207" s="11" t="n">
        <v>0</v>
      </c>
    </row>
    <row r="208">
      <c r="B208" s="8" t="inlineStr"/>
      <c r="C208" s="11" t="n">
        <v>0</v>
      </c>
      <c r="D208" s="22">
        <f>C208-$C$197</f>
        <v/>
      </c>
      <c r="E208" s="11" t="n">
        <v>0</v>
      </c>
    </row>
    <row r="209">
      <c r="B209" s="8" t="inlineStr"/>
      <c r="C209" s="11" t="n">
        <v>0</v>
      </c>
      <c r="D209" s="22">
        <f>C209-$C$197</f>
        <v/>
      </c>
      <c r="E209" s="11" t="n">
        <v>0</v>
      </c>
    </row>
    <row r="210">
      <c r="B210" s="8" t="inlineStr"/>
      <c r="C210" s="11" t="n">
        <v>0</v>
      </c>
      <c r="D210" s="22">
        <f>C210-$C$197</f>
        <v/>
      </c>
      <c r="E210" s="11" t="n">
        <v>0</v>
      </c>
    </row>
    <row r="211">
      <c r="B211" s="8" t="inlineStr"/>
      <c r="C211" s="11" t="n">
        <v>0</v>
      </c>
      <c r="D211" s="22">
        <f>C211-$C$197</f>
        <v/>
      </c>
      <c r="E211" s="11" t="n">
        <v>0</v>
      </c>
    </row>
    <row r="212">
      <c r="B212" s="8" t="inlineStr"/>
      <c r="C212" s="11" t="n">
        <v>0</v>
      </c>
      <c r="D212" s="22">
        <f>C212-$C$197</f>
        <v/>
      </c>
      <c r="E212" s="11" t="n">
        <v>0</v>
      </c>
    </row>
    <row r="213">
      <c r="B213" s="8" t="inlineStr"/>
      <c r="C213" s="11" t="n">
        <v>0</v>
      </c>
      <c r="D213" s="22">
        <f>C213-$C$197</f>
        <v/>
      </c>
      <c r="E213" s="11" t="n">
        <v>0</v>
      </c>
    </row>
    <row r="214">
      <c r="B214" s="8" t="inlineStr"/>
      <c r="C214" s="11" t="n">
        <v>0</v>
      </c>
      <c r="D214" s="22">
        <f>C214-$C$197</f>
        <v/>
      </c>
      <c r="E214" s="11" t="n">
        <v>0</v>
      </c>
    </row>
    <row r="215">
      <c r="B215" s="8" t="inlineStr"/>
      <c r="C215" s="11" t="n">
        <v>0</v>
      </c>
      <c r="D215" s="22">
        <f>C215-$C$197</f>
        <v/>
      </c>
      <c r="E215" s="11" t="n">
        <v>0</v>
      </c>
    </row>
    <row r="216">
      <c r="B216" s="8" t="inlineStr"/>
      <c r="C216" s="11" t="n">
        <v>0</v>
      </c>
      <c r="D216" s="22">
        <f>C216-$C$197</f>
        <v/>
      </c>
      <c r="E216" s="11" t="n">
        <v>0</v>
      </c>
    </row>
    <row r="217">
      <c r="B217" s="8" t="inlineStr"/>
      <c r="C217" s="11" t="n">
        <v>0</v>
      </c>
      <c r="D217" s="22">
        <f>C217-$C$197</f>
        <v/>
      </c>
      <c r="E217" s="11" t="n">
        <v>0</v>
      </c>
    </row>
    <row r="218">
      <c r="B218" s="8" t="inlineStr"/>
      <c r="C218" s="11" t="n">
        <v>0</v>
      </c>
      <c r="D218" s="22">
        <f>C218-$C$197</f>
        <v/>
      </c>
      <c r="E218" s="11" t="n">
        <v>0</v>
      </c>
    </row>
    <row r="219">
      <c r="B219" s="5" t="inlineStr">
        <is>
          <t>Each row reruns the explorer model with one change from the scenario as set.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2">
      <c r="B2" s="1" t="inlineStr">
        <is>
          <t>WATERBURY: one building, prefab modular</t>
        </is>
      </c>
    </row>
    <row r="3">
      <c r="B3" s="2" t="inlineStr"/>
    </row>
    <row r="5">
      <c r="B5" s="6" t="inlineStr">
        <is>
          <t>1. SCENARIO</t>
        </is>
      </c>
      <c r="C5" s="7" t="n"/>
      <c r="D5" s="7" t="n"/>
      <c r="E5" s="7" t="n"/>
      <c r="F5" s="7" t="n"/>
      <c r="G5" s="7" t="n"/>
      <c r="H5" s="7" t="n"/>
      <c r="I5" s="7" t="n"/>
    </row>
    <row r="6">
      <c r="B6" s="3" t="inlineStr">
        <is>
          <t>City</t>
        </is>
      </c>
      <c r="C6" s="8" t="inlineStr"/>
    </row>
    <row r="7">
      <c r="B7" s="3" t="inlineStr">
        <is>
          <t>Building design</t>
        </is>
      </c>
      <c r="C7" s="8" t="inlineStr"/>
    </row>
    <row r="8">
      <c r="B8" s="3" t="inlineStr">
        <is>
          <t>Total units in the building</t>
        </is>
      </c>
      <c r="C8" s="9" t="n">
        <v>0</v>
      </c>
    </row>
    <row r="9">
      <c r="B9" s="3" t="inlineStr">
        <is>
          <t>Owner unit bedrooms</t>
        </is>
      </c>
      <c r="C9" s="8" t="inlineStr"/>
    </row>
    <row r="10">
      <c r="B10" s="3" t="inlineStr">
        <is>
          <t>Rental unit bedrooms</t>
        </is>
      </c>
      <c r="C10" s="8" t="inlineStr"/>
    </row>
    <row r="11">
      <c r="B11" s="3" t="inlineStr">
        <is>
          <t>Owner household income target</t>
        </is>
      </c>
      <c r="C11" s="10" t="n">
        <v>0</v>
      </c>
      <c r="E11" s="5" t="inlineStr">
        <is>
          <t>% of AMI</t>
        </is>
      </c>
    </row>
    <row r="12">
      <c r="B12" s="3" t="inlineStr">
        <is>
          <t>Owner household size</t>
        </is>
      </c>
      <c r="C12" s="9" t="n">
        <v>0</v>
      </c>
    </row>
    <row r="13">
      <c r="B13" s="3" t="inlineStr">
        <is>
          <t>Rental unit rent target</t>
        </is>
      </c>
      <c r="C13" s="10" t="n">
        <v>0</v>
      </c>
      <c r="E13" s="5" t="inlineStr">
        <is>
          <t>% of AMI; 0% = market rent</t>
        </is>
      </c>
    </row>
    <row r="14">
      <c r="B14" s="3" t="inlineStr">
        <is>
          <t>Cap the AMI rent at market rent?</t>
        </is>
      </c>
      <c r="C14" s="8" t="inlineStr"/>
    </row>
    <row r="15">
      <c r="B15" s="3" t="inlineStr">
        <is>
          <t>Construction method</t>
        </is>
      </c>
      <c r="C15" s="8" t="inlineStr"/>
    </row>
    <row r="16">
      <c r="B16" s="3" t="inlineStr">
        <is>
          <t>Order volume (buildings ordered together)</t>
        </is>
      </c>
      <c r="C16" s="9" t="n">
        <v>0</v>
      </c>
    </row>
    <row r="17">
      <c r="B17" s="3" t="inlineStr">
        <is>
          <t>Appraisal basis</t>
        </is>
      </c>
      <c r="C17" s="8" t="inlineStr"/>
    </row>
    <row r="18">
      <c r="B18" s="3" t="inlineStr">
        <is>
          <t>Property tax assessed on</t>
        </is>
      </c>
      <c r="C18" s="8" t="inlineStr"/>
    </row>
    <row r="20">
      <c r="B20" s="6" t="inlineStr">
        <is>
          <t>2. CITY DATA</t>
        </is>
      </c>
      <c r="C20" s="7" t="n"/>
      <c r="D20" s="7" t="n"/>
      <c r="E20" s="7" t="n"/>
      <c r="F20" s="7" t="n"/>
      <c r="G20" s="7" t="n"/>
      <c r="H20" s="7" t="n"/>
      <c r="I20" s="7" t="n"/>
    </row>
    <row r="21">
      <c r="B21" s="3" t="inlineStr">
        <is>
          <t>HUD 50% income limit, 4-person</t>
        </is>
      </c>
      <c r="C21" s="11" t="n">
        <v>0</v>
      </c>
      <c r="E21" s="5" t="inlineStr">
        <is>
          <t>HUD FY2026 Section 8 limits</t>
        </is>
      </c>
    </row>
    <row r="22">
      <c r="B22" s="3" t="inlineStr">
        <is>
          <t>100% AMI used in the model (2 x 50% limit)</t>
        </is>
      </c>
      <c r="C22" s="11" t="n">
        <v>0</v>
      </c>
    </row>
    <row r="23">
      <c r="B23" s="5" t="inlineStr">
        <is>
          <t>Bedrooms</t>
        </is>
      </c>
      <c r="C23" s="12" t="inlineStr">
        <is>
          <t>Studio</t>
        </is>
      </c>
      <c r="D23" s="12" t="inlineStr">
        <is>
          <t>1BR</t>
        </is>
      </c>
      <c r="E23" s="12" t="inlineStr">
        <is>
          <t>2BR</t>
        </is>
      </c>
      <c r="F23" s="12" t="inlineStr">
        <is>
          <t>3BR</t>
        </is>
      </c>
      <c r="G23" s="12" t="inlineStr">
        <is>
          <t>4BR</t>
        </is>
      </c>
    </row>
    <row r="24">
      <c r="B24" s="3" t="inlineStr">
        <is>
          <t>Market asking rent by bedroom count ($ per month)</t>
        </is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</row>
    <row r="25">
      <c r="B25" s="5" t="inlineStr">
        <is>
          <t>Building size</t>
        </is>
      </c>
      <c r="C25" s="12" t="inlineStr">
        <is>
          <t>2-unit</t>
        </is>
      </c>
      <c r="D25" s="12" t="inlineStr">
        <is>
          <t>3-unit</t>
        </is>
      </c>
      <c r="E25" s="12" t="inlineStr">
        <is>
          <t>4-6 unit</t>
        </is>
      </c>
    </row>
    <row r="26">
      <c r="B26" s="3" t="inlineStr">
        <is>
          <t>Median sale, existing buildings (CT CAMA 2023-26)</t>
        </is>
      </c>
      <c r="C26" s="11" t="n">
        <v>0</v>
      </c>
      <c r="D26" s="11" t="n">
        <v>0</v>
      </c>
      <c r="E26" s="11" t="n">
        <v>0</v>
      </c>
    </row>
    <row r="27">
      <c r="B27" s="3" t="inlineStr">
        <is>
          <t>Size-adjusted new-build value (base case)</t>
        </is>
      </c>
      <c r="C27" s="11" t="n">
        <v>0</v>
      </c>
    </row>
    <row r="28">
      <c r="B28" s="3" t="inlineStr">
        <is>
          <t>DOH new-build precedent</t>
        </is>
      </c>
      <c r="C28" s="11" t="n">
        <v>0</v>
      </c>
    </row>
    <row r="29">
      <c r="B29" s="3" t="inlineStr">
        <is>
          <t>Assessment ratio used</t>
        </is>
      </c>
      <c r="C29" s="13" t="n">
        <v>0</v>
      </c>
    </row>
    <row r="30">
      <c r="B30" s="3" t="inlineStr">
        <is>
          <t>Mill rate</t>
        </is>
      </c>
      <c r="C30" s="14" t="n">
        <v>0</v>
      </c>
      <c r="E30" s="5" t="inlineStr">
        <is>
          <t>$ per $1,000 assessed</t>
        </is>
      </c>
    </row>
    <row r="31">
      <c r="B31" s="3" t="inlineStr">
        <is>
          <t>Effective property tax rate</t>
        </is>
      </c>
      <c r="C31" s="13" t="n">
        <v>0</v>
      </c>
    </row>
    <row r="32">
      <c r="B32" s="3" t="inlineStr">
        <is>
          <t>Homeowner insurance ($ per unit per year)</t>
        </is>
      </c>
      <c r="C32" s="11" t="n">
        <v>0</v>
      </c>
    </row>
    <row r="33">
      <c r="B33" s="3" t="inlineStr">
        <is>
          <t>Land acquisition and closing ($ per building)</t>
        </is>
      </c>
      <c r="C33" s="11" t="n">
        <v>0</v>
      </c>
    </row>
    <row r="35">
      <c r="B35" s="6" t="inlineStr">
        <is>
          <t>3. KEY ASSUMPTIONS (full list on Inputs Snapshot)</t>
        </is>
      </c>
      <c r="C35" s="7" t="n"/>
      <c r="D35" s="7" t="n"/>
      <c r="E35" s="7" t="n"/>
      <c r="F35" s="7" t="n"/>
      <c r="G35" s="7" t="n"/>
      <c r="H35" s="7" t="n"/>
      <c r="I35" s="7" t="n"/>
    </row>
    <row r="36">
      <c r="B36" s="3" t="inlineStr">
        <is>
          <t>Mortgage rate</t>
        </is>
      </c>
      <c r="C36" s="13" t="n">
        <v>0</v>
      </c>
    </row>
    <row r="37">
      <c r="B37" s="3" t="inlineStr">
        <is>
          <t>Mortgage term (years)</t>
        </is>
      </c>
      <c r="C37" s="9" t="n">
        <v>0</v>
      </c>
    </row>
    <row r="38">
      <c r="B38" s="3" t="inlineStr">
        <is>
          <t>Down payment</t>
        </is>
      </c>
      <c r="C38" s="13" t="n">
        <v>0</v>
      </c>
    </row>
    <row r="39">
      <c r="B39" s="3" t="inlineStr">
        <is>
          <t>FHA mortgage insurance (annual)</t>
        </is>
      </c>
      <c r="C39" s="13" t="n">
        <v>0</v>
      </c>
    </row>
    <row r="40">
      <c r="B40" s="3" t="inlineStr">
        <is>
          <t>Lender credit on rental income</t>
        </is>
      </c>
      <c r="C40" s="10" t="n">
        <v>0</v>
      </c>
    </row>
    <row r="41">
      <c r="B41" s="3" t="inlineStr">
        <is>
          <t>Lender test cap, % of qualifying income</t>
        </is>
      </c>
      <c r="C41" s="10" t="n">
        <v>0</v>
      </c>
    </row>
    <row r="42">
      <c r="B42" s="3" t="inlineStr">
        <is>
          <t>Owner test cap, % of own income</t>
        </is>
      </c>
      <c r="C42" s="10" t="n">
        <v>0</v>
      </c>
    </row>
    <row r="43">
      <c r="B43" s="3" t="inlineStr">
        <is>
          <t>Rent + utilities as % of renter income</t>
        </is>
      </c>
      <c r="C43" s="13" t="n">
        <v>0</v>
      </c>
    </row>
    <row r="44">
      <c r="B44" s="3" t="inlineStr">
        <is>
          <t>Tenant utility allowance (rental unit)</t>
        </is>
      </c>
      <c r="C44" s="11" t="n">
        <v>0</v>
      </c>
    </row>
    <row r="45">
      <c r="B45" s="3" t="inlineStr">
        <is>
          <t>Vacancy and collection loss</t>
        </is>
      </c>
      <c r="C45" s="13" t="n">
        <v>0</v>
      </c>
    </row>
    <row r="46">
      <c r="B46" s="3" t="inlineStr">
        <is>
          <t>Maintenance and reserve (% of value per year)</t>
        </is>
      </c>
      <c r="C46" s="13" t="n">
        <v>0</v>
      </c>
    </row>
    <row r="47">
      <c r="B47" s="3" t="inlineStr">
        <is>
          <t>Owner energy bills ($ per month)</t>
        </is>
      </c>
      <c r="C47" s="11" t="n">
        <v>0</v>
      </c>
    </row>
    <row r="48">
      <c r="B48" s="3" t="inlineStr">
        <is>
          <t>Owner-paid common utilities ($ per unit per month)</t>
        </is>
      </c>
      <c r="C48" s="11" t="n">
        <v>0</v>
      </c>
    </row>
    <row r="49">
      <c r="B49" s="3" t="inlineStr">
        <is>
          <t>Gross-up (net to gross sq ft)</t>
        </is>
      </c>
      <c r="C49" s="14" t="n">
        <v>0</v>
      </c>
    </row>
    <row r="50">
      <c r="B50" s="3" t="inlineStr">
        <is>
          <t>Hard-cost contingency</t>
        </is>
      </c>
      <c r="C50" s="13" t="n">
        <v>0</v>
      </c>
    </row>
    <row r="51">
      <c r="B51" s="3" t="inlineStr">
        <is>
          <t>Soft-cost contingency</t>
        </is>
      </c>
      <c r="C51" s="13" t="n">
        <v>0</v>
      </c>
    </row>
    <row r="52">
      <c r="B52" s="3" t="inlineStr">
        <is>
          <t>Construction loan rate</t>
        </is>
      </c>
      <c r="C52" s="13" t="n">
        <v>0</v>
      </c>
    </row>
    <row r="53">
      <c r="B53" s="3" t="inlineStr">
        <is>
          <t>Developer fee (% of cost)</t>
        </is>
      </c>
      <c r="C53" s="13" t="n">
        <v>0</v>
      </c>
    </row>
    <row r="55">
      <c r="B55" s="6" t="inlineStr">
        <is>
          <t>4. CALCULATIONS</t>
        </is>
      </c>
      <c r="C55" s="7" t="n"/>
      <c r="D55" s="7" t="n"/>
      <c r="E55" s="7" t="n"/>
      <c r="F55" s="7" t="n"/>
      <c r="G55" s="7" t="n"/>
      <c r="H55" s="7" t="n"/>
      <c r="I55" s="7" t="n"/>
    </row>
    <row r="56">
      <c r="B56" s="4" t="inlineStr">
        <is>
          <t>Building and development cost</t>
        </is>
      </c>
    </row>
    <row r="57">
      <c r="B57" s="3" t="inlineStr">
        <is>
          <t>Owner unit net sq ft</t>
        </is>
      </c>
      <c r="C57" s="9" t="n">
        <v>0</v>
      </c>
    </row>
    <row r="58">
      <c r="B58" s="3" t="inlineStr">
        <is>
          <t>Rental unit net sq ft (each)</t>
        </is>
      </c>
      <c r="C58" s="9" t="n">
        <v>0</v>
      </c>
    </row>
    <row r="59">
      <c r="B59" s="3" t="inlineStr">
        <is>
          <t>Rented units</t>
        </is>
      </c>
      <c r="C59" s="9" t="n">
        <v>0</v>
      </c>
    </row>
    <row r="60">
      <c r="B60" s="3" t="inlineStr">
        <is>
          <t>Gross sq ft, whole building</t>
        </is>
      </c>
      <c r="C60" s="9" t="n">
        <v>0</v>
      </c>
    </row>
    <row r="61">
      <c r="B61" s="3" t="inlineStr">
        <is>
          <t>Factory cost per gross sq ft (at this order volume)</t>
        </is>
      </c>
      <c r="C61" s="11" t="n">
        <v>0</v>
      </c>
    </row>
    <row r="62">
      <c r="B62" s="3" t="inlineStr">
        <is>
          <t>Field cost per gross sq ft</t>
        </is>
      </c>
      <c r="C62" s="11" t="n">
        <v>0</v>
      </c>
    </row>
    <row r="63">
      <c r="B63" s="3" t="inlineStr">
        <is>
          <t>Transport, crane and set</t>
        </is>
      </c>
      <c r="C63" s="11" t="n">
        <v>0</v>
      </c>
    </row>
    <row r="64">
      <c r="B64" s="3" t="inlineStr">
        <is>
          <t>Building (factory + field + transport, or stick-built)</t>
        </is>
      </c>
      <c r="C64" s="11" t="n">
        <v>0</v>
      </c>
    </row>
    <row r="65">
      <c r="B65" s="3" t="inlineStr">
        <is>
          <t>Add-ons and hard-cost extras</t>
        </is>
      </c>
      <c r="C65" s="11" t="n">
        <v>0</v>
      </c>
    </row>
    <row r="66">
      <c r="B66" s="3" t="inlineStr">
        <is>
          <t>Warehouse and bulk buying (net)</t>
        </is>
      </c>
      <c r="C66" s="11" t="n">
        <v>0</v>
      </c>
    </row>
    <row r="67">
      <c r="B67" s="3" t="inlineStr">
        <is>
          <t>Site work</t>
        </is>
      </c>
      <c r="C67" s="11" t="n">
        <v>0</v>
      </c>
    </row>
    <row r="68">
      <c r="B68" s="3" t="inlineStr">
        <is>
          <t>Hard-cost contingency</t>
        </is>
      </c>
      <c r="C68" s="11" t="n">
        <v>0</v>
      </c>
    </row>
    <row r="69">
      <c r="B69" s="15" t="inlineStr">
        <is>
          <t>Construction cost</t>
        </is>
      </c>
      <c r="C69" s="16" t="n">
        <v>0</v>
      </c>
    </row>
    <row r="70">
      <c r="B70" s="3" t="inlineStr">
        <is>
          <t>Soft costs incl. contingency</t>
        </is>
      </c>
      <c r="C70" s="11" t="n">
        <v>0</v>
      </c>
    </row>
    <row r="71">
      <c r="B71" s="3" t="inlineStr">
        <is>
          <t>Construction loan interest</t>
        </is>
      </c>
      <c r="C71" s="11" t="n">
        <v>0</v>
      </c>
    </row>
    <row r="72">
      <c r="B72" s="3" t="inlineStr">
        <is>
          <t>Carry and land</t>
        </is>
      </c>
      <c r="C72" s="11" t="n">
        <v>0</v>
      </c>
    </row>
    <row r="73">
      <c r="B73" s="3" t="inlineStr">
        <is>
          <t>Developer fee</t>
        </is>
      </c>
      <c r="C73" s="11" t="n">
        <v>0</v>
      </c>
    </row>
    <row r="74">
      <c r="B74" s="15" t="inlineStr">
        <is>
          <t>Total development cost (TDC)</t>
        </is>
      </c>
      <c r="C74" s="16" t="n">
        <v>0</v>
      </c>
    </row>
    <row r="75">
      <c r="B75" s="3" t="inlineStr">
        <is>
          <t>TDC per unit</t>
        </is>
      </c>
      <c r="C75" s="11" t="n">
        <v>0</v>
      </c>
    </row>
    <row r="76">
      <c r="B76" s="3" t="inlineStr">
        <is>
          <t>TDC per gross sq ft</t>
        </is>
      </c>
      <c r="C76" s="11" t="n">
        <v>0</v>
      </c>
    </row>
    <row r="78">
      <c r="B78" s="4" t="inlineStr">
        <is>
          <t>Rent for the rental unit</t>
        </is>
      </c>
    </row>
    <row r="79">
      <c r="B79" s="3" t="inlineStr">
        <is>
          <t>Renter household income at the rent target</t>
        </is>
      </c>
      <c r="C79" s="11" t="n">
        <v>0</v>
      </c>
    </row>
    <row r="80">
      <c r="B80" s="3" t="inlineStr">
        <is>
          <t>AMI rent, net of utilities (what the owner can charge)</t>
        </is>
      </c>
      <c r="C80" s="11" t="n">
        <v>0</v>
      </c>
    </row>
    <row r="81">
      <c r="B81" s="3" t="inlineStr">
        <is>
          <t>Market asking rent, rental bedroom count</t>
        </is>
      </c>
      <c r="C81" s="11" t="n">
        <v>0</v>
      </c>
    </row>
    <row r="82">
      <c r="B82" s="3" t="inlineStr">
        <is>
          <t>Rent charged per rental unit</t>
        </is>
      </c>
      <c r="C82" s="11" t="n">
        <v>0</v>
      </c>
    </row>
    <row r="83">
      <c r="B83" s="3" t="inlineStr">
        <is>
          <t>What sets the rent</t>
        </is>
      </c>
      <c r="C83" s="8" t="inlineStr"/>
    </row>
    <row r="84">
      <c r="B84" s="3" t="inlineStr">
        <is>
          <t>Rent charged as % of renter income</t>
        </is>
      </c>
      <c r="C84" s="13" t="n">
        <v>0</v>
      </c>
    </row>
    <row r="85">
      <c r="B85" s="3" t="inlineStr">
        <is>
          <t>Gross rent, all rental units, per month</t>
        </is>
      </c>
      <c r="C85" s="11" t="n">
        <v>0</v>
      </c>
    </row>
    <row r="86">
      <c r="B86" s="3" t="inlineStr">
        <is>
          <t>Rent collected per month (after vacancy)</t>
        </is>
      </c>
      <c r="C86" s="11" t="n">
        <v>0</v>
      </c>
    </row>
    <row r="87">
      <c r="B87" s="3" t="inlineStr">
        <is>
          <t>Rent a lender counts, per month</t>
        </is>
      </c>
      <c r="C87" s="11" t="n">
        <v>0</v>
      </c>
    </row>
    <row r="89">
      <c r="B89" s="4" t="inlineStr">
        <is>
          <t>What the buyer can pay</t>
        </is>
      </c>
    </row>
    <row r="90">
      <c r="B90" s="3" t="inlineStr">
        <is>
          <t>Owner household income</t>
        </is>
      </c>
      <c r="C90" s="11" t="n">
        <v>0</v>
      </c>
    </row>
    <row r="91">
      <c r="B91" s="3" t="inlineStr">
        <is>
          <t>Property tax per month</t>
        </is>
      </c>
      <c r="C91" s="11" t="n">
        <v>0</v>
      </c>
    </row>
    <row r="92">
      <c r="B92" s="3" t="inlineStr">
        <is>
          <t>Insurance per month</t>
        </is>
      </c>
      <c r="C92" s="11" t="n">
        <v>0</v>
      </c>
    </row>
    <row r="93">
      <c r="B93" s="3" t="inlineStr">
        <is>
          <t>Owner-paid common utilities per month</t>
        </is>
      </c>
      <c r="C93" s="11" t="n">
        <v>0</v>
      </c>
    </row>
    <row r="94">
      <c r="B94" s="3" t="inlineStr">
        <is>
          <t>Owner energy bills per month</t>
        </is>
      </c>
      <c r="C94" s="11" t="n">
        <v>0</v>
      </c>
    </row>
    <row r="95">
      <c r="B95" s="3" t="inlineStr">
        <is>
          <t>Maintenance and reserve per month</t>
        </is>
      </c>
      <c r="C95" s="11" t="n">
        <v>0</v>
      </c>
    </row>
    <row r="96">
      <c r="B96" s="3" t="inlineStr">
        <is>
          <t>Less add-on savings per month</t>
        </is>
      </c>
      <c r="C96" s="11" t="n">
        <v>0</v>
      </c>
    </row>
    <row r="97">
      <c r="B97" s="3" t="inlineStr">
        <is>
          <t>Non-mortgage housing costs per month</t>
        </is>
      </c>
      <c r="C97" s="11" t="n">
        <v>0</v>
      </c>
    </row>
    <row r="98">
      <c r="B98" s="3" t="inlineStr">
        <is>
          <t>Monthly payment per $1 of loan (P&amp;I + FHA insurance)</t>
        </is>
      </c>
      <c r="C98" s="17" t="n">
        <v>0</v>
      </c>
    </row>
    <row r="99">
      <c r="B99" s="3" t="inlineStr">
        <is>
          <t>Lender test: maximum price</t>
        </is>
      </c>
      <c r="C99" s="11" t="n">
        <v>0</v>
      </c>
    </row>
    <row r="100">
      <c r="B100" s="3" t="inlineStr">
        <is>
          <t>Owner test: maximum price</t>
        </is>
      </c>
      <c r="C100" s="11" t="n">
        <v>0</v>
      </c>
    </row>
    <row r="101">
      <c r="B101" s="3" t="inlineStr">
        <is>
          <t>Buyer capacity (lower of the two tests)</t>
        </is>
      </c>
      <c r="C101" s="11" t="n">
        <v>0</v>
      </c>
    </row>
    <row r="102">
      <c r="B102" s="3" t="inlineStr">
        <is>
          <t>Which test binds</t>
        </is>
      </c>
      <c r="C102" s="8" t="inlineStr"/>
    </row>
    <row r="103">
      <c r="B103" s="3" t="inlineStr">
        <is>
          <t>CHFA Time To Own and other buyer assistance</t>
        </is>
      </c>
      <c r="C103" s="11" t="n">
        <v>0</v>
      </c>
    </row>
    <row r="104">
      <c r="B104" s="15" t="inlineStr">
        <is>
          <t>Most the buyer can pay</t>
        </is>
      </c>
      <c r="C104" s="16" t="n">
        <v>0</v>
      </c>
    </row>
    <row r="106">
      <c r="B106" s="6" t="inlineStr">
        <is>
          <t>5. RESULTS</t>
        </is>
      </c>
      <c r="C106" s="7" t="n"/>
      <c r="D106" s="7" t="n"/>
      <c r="E106" s="7" t="n"/>
      <c r="F106" s="7" t="n"/>
      <c r="G106" s="7" t="n"/>
      <c r="H106" s="7" t="n"/>
      <c r="I106" s="7" t="n"/>
    </row>
    <row r="107">
      <c r="B107" s="3" t="inlineStr">
        <is>
          <t>Appraised value</t>
        </is>
      </c>
      <c r="C107" s="11" t="n">
        <v>0</v>
      </c>
    </row>
    <row r="108">
      <c r="B108" s="15" t="inlineStr">
        <is>
          <t>Sales gap (appraisal − what the buyer can pay)</t>
        </is>
      </c>
      <c r="C108" s="16" t="n">
        <v>0</v>
      </c>
    </row>
    <row r="109">
      <c r="B109" s="3" t="inlineStr">
        <is>
          <t>DOH homebuyer subsidy</t>
        </is>
      </c>
      <c r="C109" s="11" t="n">
        <v>0</v>
      </c>
    </row>
    <row r="110">
      <c r="B110" s="3" t="inlineStr">
        <is>
          <t>Sale proceeds to the developer</t>
        </is>
      </c>
      <c r="C110" s="11" t="n">
        <v>0</v>
      </c>
    </row>
    <row r="111">
      <c r="B111" s="3" t="inlineStr">
        <is>
          <t>What the buyer pays (mortgage + down payment)</t>
        </is>
      </c>
      <c r="C111" s="11" t="n">
        <v>0</v>
      </c>
    </row>
    <row r="112">
      <c r="B112" s="15" t="inlineStr">
        <is>
          <t>Developer gap (TDC − sale proceeds)</t>
        </is>
      </c>
      <c r="C112" s="16" t="n">
        <v>0</v>
      </c>
    </row>
    <row r="113">
      <c r="B113" s="3" t="inlineStr">
        <is>
          <t>HDF / C4C grant</t>
        </is>
      </c>
      <c r="C113" s="11" t="n">
        <v>0</v>
      </c>
    </row>
    <row r="114">
      <c r="B114" s="3" t="inlineStr">
        <is>
          <t>FHLBank Boston AHP</t>
        </is>
      </c>
      <c r="C114" s="11" t="n">
        <v>0</v>
      </c>
    </row>
    <row r="115">
      <c r="B115" s="3" t="inlineStr">
        <is>
          <t>HTCC share</t>
        </is>
      </c>
      <c r="C115" s="11" t="n">
        <v>0</v>
      </c>
    </row>
    <row r="116">
      <c r="B116" s="3" t="inlineStr">
        <is>
          <t>New Markets Tax Credits (net, if on)</t>
        </is>
      </c>
      <c r="C116" s="11" t="n">
        <v>0</v>
      </c>
    </row>
    <row r="117">
      <c r="B117" s="3" t="inlineStr">
        <is>
          <t>DOH developer subsidy</t>
        </is>
      </c>
      <c r="C117" s="11" t="n">
        <v>0</v>
      </c>
    </row>
    <row r="118">
      <c r="B118" s="15" t="inlineStr">
        <is>
          <t>Remaining developer gap</t>
        </is>
      </c>
      <c r="C118" s="16" t="n">
        <v>0</v>
      </c>
    </row>
    <row r="119">
      <c r="B119" s="15" t="inlineStr">
        <is>
          <t>Total subsidy needed (TDC − what the buyer pays)</t>
        </is>
      </c>
      <c r="C119" s="16" t="n">
        <v>0</v>
      </c>
    </row>
    <row r="120">
      <c r="B120" s="3" t="inlineStr">
        <is>
          <t>Subsidy needed per unit</t>
        </is>
      </c>
      <c r="C120" s="11" t="n">
        <v>0</v>
      </c>
    </row>
    <row r="121">
      <c r="B121" s="3" t="inlineStr">
        <is>
          <t>Subsidy as % of TDC</t>
        </is>
      </c>
      <c r="C121" s="13" t="n">
        <v>0</v>
      </c>
    </row>
    <row r="122">
      <c r="B122" s="3" t="inlineStr">
        <is>
          <t>Most the buyer can pay as % of the existing-building median</t>
        </is>
      </c>
      <c r="C122" s="13" t="n">
        <v>0</v>
      </c>
    </row>
    <row r="124">
      <c r="B124" s="4" t="inlineStr">
        <is>
          <t>Owner's net monthly housing cost</t>
        </is>
      </c>
    </row>
    <row r="125">
      <c r="B125" s="3" t="inlineStr">
        <is>
          <t>Mortgage payment + FHA insurance</t>
        </is>
      </c>
      <c r="C125" s="11" t="n">
        <v>0</v>
      </c>
    </row>
    <row r="126">
      <c r="B126" s="3" t="inlineStr">
        <is>
          <t>Plus non-mortgage costs (tax, insurance, utilities, reserve, less add-on savings)</t>
        </is>
      </c>
      <c r="C126" s="11" t="n">
        <v>0</v>
      </c>
    </row>
    <row r="127">
      <c r="B127" s="3" t="inlineStr">
        <is>
          <t>Total monthly cost of owning the building</t>
        </is>
      </c>
      <c r="C127" s="11" t="n">
        <v>0</v>
      </c>
    </row>
    <row r="128">
      <c r="B128" s="3" t="inlineStr">
        <is>
          <t>Minus rent collected (after vacancy)</t>
        </is>
      </c>
      <c r="C128" s="11" t="n">
        <v>0</v>
      </c>
    </row>
    <row r="129">
      <c r="B129" s="15" t="inlineStr">
        <is>
          <t>Owner's net monthly cost</t>
        </is>
      </c>
      <c r="C129" s="16" t="n">
        <v>0</v>
      </c>
    </row>
    <row r="130">
      <c r="B130" s="15" t="inlineStr">
        <is>
          <t>Net cost as % of owner income</t>
        </is>
      </c>
      <c r="C130" s="18" t="n">
        <v>0</v>
      </c>
    </row>
    <row r="131">
      <c r="B131" s="3" t="inlineStr">
        <is>
          <t>Residual income after housing and MIT living costs ($ per year)</t>
        </is>
      </c>
      <c r="C131" s="11" t="n">
        <v>0</v>
      </c>
    </row>
    <row r="132">
      <c r="B132" s="3" t="inlineStr">
        <is>
          <t>Energy burden</t>
        </is>
      </c>
      <c r="C132" s="13" t="n">
        <v>0</v>
      </c>
    </row>
    <row r="134">
      <c r="B134" s="6" t="inlineStr">
        <is>
          <t>6. USES VS. SOURCES (chart data)</t>
        </is>
      </c>
      <c r="C134" s="7" t="n"/>
      <c r="D134" s="7" t="n"/>
      <c r="E134" s="7" t="n"/>
      <c r="F134" s="7" t="n"/>
      <c r="G134" s="7" t="n"/>
      <c r="H134" s="7" t="n"/>
      <c r="I134" s="7" t="n"/>
    </row>
    <row r="135">
      <c r="C135" s="12" t="inlineStr">
        <is>
          <t>Uses</t>
        </is>
      </c>
      <c r="D135" s="12" t="inlineStr">
        <is>
          <t>Sources</t>
        </is>
      </c>
    </row>
    <row r="136">
      <c r="B136" s="3" t="inlineStr">
        <is>
          <t>Building</t>
        </is>
      </c>
      <c r="C136" s="11" t="n">
        <v>0</v>
      </c>
      <c r="D136" s="11" t="n">
        <v>0</v>
      </c>
    </row>
    <row r="137">
      <c r="B137" s="3" t="inlineStr">
        <is>
          <t>Add-ons and warehouse</t>
        </is>
      </c>
      <c r="C137" s="11" t="n">
        <v>0</v>
      </c>
      <c r="D137" s="11" t="n">
        <v>0</v>
      </c>
    </row>
    <row r="138">
      <c r="B138" s="3" t="inlineStr">
        <is>
          <t>Site work and hard contingency</t>
        </is>
      </c>
      <c r="C138" s="11" t="n">
        <v>0</v>
      </c>
      <c r="D138" s="11" t="n">
        <v>0</v>
      </c>
    </row>
    <row r="139">
      <c r="B139" s="3" t="inlineStr">
        <is>
          <t>Soft costs</t>
        </is>
      </c>
      <c r="C139" s="11" t="n">
        <v>0</v>
      </c>
      <c r="D139" s="11" t="n">
        <v>0</v>
      </c>
    </row>
    <row r="140">
      <c r="B140" s="3" t="inlineStr">
        <is>
          <t>Construction loan, carry and land</t>
        </is>
      </c>
      <c r="C140" s="11" t="n">
        <v>0</v>
      </c>
      <c r="D140" s="11" t="n">
        <v>0</v>
      </c>
    </row>
    <row r="141">
      <c r="B141" s="3" t="inlineStr">
        <is>
          <t>Developer fee</t>
        </is>
      </c>
      <c r="C141" s="11" t="n">
        <v>0</v>
      </c>
      <c r="D141" s="11" t="n">
        <v>0</v>
      </c>
    </row>
    <row r="142">
      <c r="B142" s="3" t="inlineStr">
        <is>
          <t>Buyer down payment</t>
        </is>
      </c>
      <c r="C142" s="11" t="n">
        <v>0</v>
      </c>
      <c r="D142" s="11" t="n">
        <v>0</v>
      </c>
    </row>
    <row r="143">
      <c r="B143" s="3" t="inlineStr">
        <is>
          <t>Buyer mortgage</t>
        </is>
      </c>
      <c r="C143" s="11" t="n">
        <v>0</v>
      </c>
      <c r="D143" s="11" t="n">
        <v>0</v>
      </c>
    </row>
    <row r="144">
      <c r="B144" s="3" t="inlineStr">
        <is>
          <t>Buyer assistance (Time To Own)</t>
        </is>
      </c>
      <c r="C144" s="11" t="n">
        <v>0</v>
      </c>
      <c r="D144" s="11" t="n">
        <v>0</v>
      </c>
    </row>
    <row r="145">
      <c r="B145" s="3" t="inlineStr">
        <is>
          <t>DOH homebuyer subsidy</t>
        </is>
      </c>
      <c r="C145" s="11" t="n">
        <v>0</v>
      </c>
      <c r="D145" s="11" t="n">
        <v>0</v>
      </c>
    </row>
    <row r="146">
      <c r="B146" s="3" t="inlineStr">
        <is>
          <t>HDF / C4C grant</t>
        </is>
      </c>
      <c r="C146" s="11" t="n">
        <v>0</v>
      </c>
      <c r="D146" s="11" t="n">
        <v>0</v>
      </c>
    </row>
    <row r="147">
      <c r="B147" s="3" t="inlineStr">
        <is>
          <t>FHLBank Boston AHP</t>
        </is>
      </c>
      <c r="C147" s="11" t="n">
        <v>0</v>
      </c>
      <c r="D147" s="11" t="n">
        <v>0</v>
      </c>
    </row>
    <row r="148">
      <c r="B148" s="3" t="inlineStr">
        <is>
          <t>HTCC share</t>
        </is>
      </c>
      <c r="C148" s="11" t="n">
        <v>0</v>
      </c>
      <c r="D148" s="11" t="n">
        <v>0</v>
      </c>
    </row>
    <row r="149">
      <c r="B149" s="3" t="inlineStr">
        <is>
          <t>New Markets Tax Credits</t>
        </is>
      </c>
      <c r="C149" s="11" t="n">
        <v>0</v>
      </c>
      <c r="D149" s="11" t="n">
        <v>0</v>
      </c>
    </row>
    <row r="150">
      <c r="B150" s="3" t="inlineStr">
        <is>
          <t>DOH developer subsidy</t>
        </is>
      </c>
      <c r="C150" s="11" t="n">
        <v>0</v>
      </c>
      <c r="D150" s="11" t="n">
        <v>0</v>
      </c>
    </row>
    <row r="151">
      <c r="B151" s="3" t="inlineStr">
        <is>
          <t>Remaining gap</t>
        </is>
      </c>
      <c r="C151" s="11" t="n">
        <v>0</v>
      </c>
      <c r="D151" s="11" t="n">
        <v>0</v>
      </c>
    </row>
    <row r="152">
      <c r="B152" s="4" t="inlineStr">
        <is>
          <t>Total</t>
        </is>
      </c>
      <c r="C152" s="19">
        <f>SUM(C136:C151)</f>
        <v/>
      </c>
      <c r="D152" s="19">
        <f>SUM(D136:D151)</f>
        <v/>
      </c>
    </row>
    <row r="153">
      <c r="B153" s="5" t="inlineStr">
        <is>
          <t>Check: sources minus uses (0, or a surplus when the sale covers the cost)</t>
        </is>
      </c>
      <c r="C153" s="20">
        <f>D152-C152</f>
        <v/>
      </c>
    </row>
    <row r="155">
      <c r="B155" s="6" t="inlineStr">
        <is>
          <t>7. FUNDING WATERFALL (caps and precedents, not awards)</t>
        </is>
      </c>
      <c r="C155" s="7" t="n"/>
      <c r="D155" s="7" t="n"/>
      <c r="E155" s="7" t="n"/>
      <c r="F155" s="7" t="n"/>
      <c r="G155" s="7" t="n"/>
      <c r="H155" s="7" t="n"/>
      <c r="I155" s="7" t="n"/>
    </row>
    <row r="156">
      <c r="C156" s="12" t="inlineStr">
        <is>
          <t>Amount</t>
        </is>
      </c>
      <c r="D156" s="12" t="inlineStr">
        <is>
          <t>Chart: base</t>
        </is>
      </c>
      <c r="E156" s="12" t="inlineStr">
        <is>
          <t>Chart: bar</t>
        </is>
      </c>
    </row>
    <row r="157">
      <c r="B157" s="3" t="inlineStr">
        <is>
          <t>Total development cost</t>
        </is>
      </c>
      <c r="C157" s="11" t="n">
        <v>0</v>
      </c>
      <c r="D157" s="11" t="n">
        <v>0</v>
      </c>
      <c r="E157" s="11">
        <f>C157</f>
        <v/>
      </c>
    </row>
    <row r="158">
      <c r="B158" s="3" t="inlineStr">
        <is>
          <t>Buyer mortgage + down payment</t>
        </is>
      </c>
      <c r="C158" s="11" t="n">
        <v>0</v>
      </c>
      <c r="D158" s="11">
        <f>MAX(0,$C$157-SUM($C$158:C158))</f>
        <v/>
      </c>
      <c r="E158" s="11">
        <f>MIN(C158,$C$157)</f>
        <v/>
      </c>
    </row>
    <row r="159">
      <c r="B159" s="3" t="inlineStr">
        <is>
          <t>Time To Own</t>
        </is>
      </c>
      <c r="C159" s="11" t="n">
        <v>0</v>
      </c>
      <c r="D159" s="11">
        <f>MAX(0,$C$157-SUM($C$158:C159))</f>
        <v/>
      </c>
      <c r="E159" s="11">
        <f>MIN(C159,MAX(0,$C$157-SUM($C$158:C158)))</f>
        <v/>
      </c>
    </row>
    <row r="160">
      <c r="B160" s="3" t="inlineStr">
        <is>
          <t>DOH homebuyer subsidy</t>
        </is>
      </c>
      <c r="C160" s="11" t="n">
        <v>0</v>
      </c>
      <c r="D160" s="11">
        <f>MAX(0,$C$157-SUM($C$158:C160))</f>
        <v/>
      </c>
      <c r="E160" s="11">
        <f>MIN(C160,MAX(0,$C$157-SUM($C$158:C159)))</f>
        <v/>
      </c>
    </row>
    <row r="161">
      <c r="B161" s="3" t="inlineStr">
        <is>
          <t>HDF / C4C grant</t>
        </is>
      </c>
      <c r="C161" s="11" t="n">
        <v>0</v>
      </c>
      <c r="D161" s="11">
        <f>MAX(0,$C$157-SUM($C$158:C161))</f>
        <v/>
      </c>
      <c r="E161" s="11">
        <f>MIN(C161,MAX(0,$C$157-SUM($C$158:C160)))</f>
        <v/>
      </c>
    </row>
    <row r="162">
      <c r="B162" s="3" t="inlineStr">
        <is>
          <t>FHLBank Boston AHP</t>
        </is>
      </c>
      <c r="C162" s="11" t="n">
        <v>0</v>
      </c>
      <c r="D162" s="11">
        <f>MAX(0,$C$157-SUM($C$158:C162))</f>
        <v/>
      </c>
      <c r="E162" s="11">
        <f>MIN(C162,MAX(0,$C$157-SUM($C$158:C161)))</f>
        <v/>
      </c>
    </row>
    <row r="163">
      <c r="B163" s="3" t="inlineStr">
        <is>
          <t>HTCC share</t>
        </is>
      </c>
      <c r="C163" s="11" t="n">
        <v>0</v>
      </c>
      <c r="D163" s="11">
        <f>MAX(0,$C$157-SUM($C$158:C163))</f>
        <v/>
      </c>
      <c r="E163" s="11">
        <f>MIN(C163,MAX(0,$C$157-SUM($C$158:C162)))</f>
        <v/>
      </c>
    </row>
    <row r="164">
      <c r="B164" s="3" t="inlineStr">
        <is>
          <t>New Markets Tax Credits</t>
        </is>
      </c>
      <c r="C164" s="11" t="n">
        <v>0</v>
      </c>
      <c r="D164" s="11">
        <f>MAX(0,$C$157-SUM($C$158:C164))</f>
        <v/>
      </c>
      <c r="E164" s="11">
        <f>MIN(C164,MAX(0,$C$157-SUM($C$158:C163)))</f>
        <v/>
      </c>
    </row>
    <row r="165">
      <c r="B165" s="3" t="inlineStr">
        <is>
          <t>DOH developer subsidy</t>
        </is>
      </c>
      <c r="C165" s="11" t="n">
        <v>0</v>
      </c>
      <c r="D165" s="11">
        <f>MAX(0,$C$157-SUM($C$158:C165))</f>
        <v/>
      </c>
      <c r="E165" s="11">
        <f>MIN(C165,MAX(0,$C$157-SUM($C$158:C164)))</f>
        <v/>
      </c>
    </row>
    <row r="166">
      <c r="B166" s="3" t="inlineStr">
        <is>
          <t>Remaining gap</t>
        </is>
      </c>
      <c r="C166" s="11" t="n">
        <v>0</v>
      </c>
      <c r="D166" s="11" t="n">
        <v>0</v>
      </c>
      <c r="E166" s="11">
        <f>C166</f>
        <v/>
      </c>
    </row>
    <row r="167">
      <c r="B167" s="5" t="inlineStr">
        <is>
          <t>Program amounts are caps and precedents, not awards. Whether HDF, AHP, HTCC and DOH can fund the same home is unconfirmed.</t>
        </is>
      </c>
    </row>
    <row r="169">
      <c r="B169" s="6" t="inlineStr">
        <is>
          <t>8. SENSITIVITY: owner income target (everything else as set)</t>
        </is>
      </c>
      <c r="C169" s="7" t="n"/>
      <c r="D169" s="7" t="n"/>
      <c r="E169" s="7" t="n"/>
      <c r="F169" s="7" t="n"/>
      <c r="G169" s="7" t="n"/>
      <c r="H169" s="7" t="n"/>
      <c r="I169" s="7" t="n"/>
    </row>
    <row r="170">
      <c r="B170" s="4" t="inlineStr">
        <is>
          <t>Owner income, % of AMI</t>
        </is>
      </c>
      <c r="C170" s="21" t="n">
        <v>0.5</v>
      </c>
      <c r="D170" s="21" t="n">
        <v>0.6</v>
      </c>
      <c r="E170" s="21" t="n">
        <v>0.7</v>
      </c>
      <c r="F170" s="21" t="n">
        <v>0.8</v>
      </c>
      <c r="G170" s="21" t="n">
        <v>0.9</v>
      </c>
      <c r="H170" s="21" t="n">
        <v>1</v>
      </c>
      <c r="I170" s="21" t="n">
        <v>1.2</v>
      </c>
    </row>
    <row r="171">
      <c r="B171" s="3" t="inlineStr">
        <is>
          <t>Owner household income</t>
        </is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</row>
    <row r="172">
      <c r="B172" s="3" t="inlineStr">
        <is>
          <t>Lender test: maximum price</t>
        </is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</row>
    <row r="173">
      <c r="B173" s="3" t="inlineStr">
        <is>
          <t>Owner test: maximum price</t>
        </is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</row>
    <row r="174">
      <c r="B174" s="3" t="inlineStr">
        <is>
          <t>Most the buyer can pay (incl. Time To Own)</t>
        </is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</row>
    <row r="175">
      <c r="B175" s="3" t="inlineStr">
        <is>
          <t>Appraised value</t>
        </is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</row>
    <row r="176">
      <c r="B176" s="3" t="inlineStr">
        <is>
          <t>Sales gap</t>
        </is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</row>
    <row r="177">
      <c r="B177" s="3" t="inlineStr">
        <is>
          <t>Remaining developer gap</t>
        </is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</row>
    <row r="178">
      <c r="B178" s="3" t="inlineStr">
        <is>
          <t>Subsidy needed per unit</t>
        </is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</row>
    <row r="179">
      <c r="B179" s="3" t="inlineStr">
        <is>
          <t>Owner's net monthly cost</t>
        </is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</row>
    <row r="180">
      <c r="B180" s="3" t="inlineStr">
        <is>
          <t>Net cost as % of income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</row>
    <row r="182">
      <c r="B182" s="6" t="inlineStr">
        <is>
          <t>9. BUILDING SIZE: modular vs. stick-built (same city data and inputs)</t>
        </is>
      </c>
      <c r="C182" s="7" t="n"/>
      <c r="D182" s="7" t="n"/>
      <c r="E182" s="7" t="n"/>
      <c r="F182" s="7" t="n"/>
      <c r="G182" s="7" t="n"/>
      <c r="H182" s="7" t="n"/>
      <c r="I182" s="7" t="n"/>
    </row>
    <row r="183">
      <c r="B183" s="4" t="inlineStr">
        <is>
          <t>Units in the building</t>
        </is>
      </c>
      <c r="C183" s="12" t="n">
        <v>2</v>
      </c>
      <c r="D183" s="12" t="n">
        <v>3</v>
      </c>
      <c r="E183" s="12" t="n">
        <v>4</v>
      </c>
    </row>
    <row r="184">
      <c r="B184" s="3" t="inlineStr">
        <is>
          <t>Gross sq ft</t>
        </is>
      </c>
      <c r="C184" s="9" t="n">
        <v>0</v>
      </c>
      <c r="D184" s="9" t="n">
        <v>0</v>
      </c>
      <c r="E184" s="9" t="n">
        <v>0</v>
      </c>
    </row>
    <row r="185">
      <c r="B185" s="3" t="inlineStr">
        <is>
          <t>Modular TDC</t>
        </is>
      </c>
      <c r="C185" s="11" t="n">
        <v>0</v>
      </c>
      <c r="D185" s="11" t="n">
        <v>0</v>
      </c>
      <c r="E185" s="11" t="n">
        <v>0</v>
      </c>
    </row>
    <row r="186">
      <c r="B186" s="3" t="inlineStr">
        <is>
          <t>Modular TDC per unit</t>
        </is>
      </c>
      <c r="C186" s="11" t="n">
        <v>0</v>
      </c>
      <c r="D186" s="11" t="n">
        <v>0</v>
      </c>
      <c r="E186" s="11" t="n">
        <v>0</v>
      </c>
    </row>
    <row r="187">
      <c r="B187" s="3" t="inlineStr">
        <is>
          <t>Stick-built TDC</t>
        </is>
      </c>
      <c r="C187" s="11" t="n">
        <v>0</v>
      </c>
      <c r="D187" s="11" t="n">
        <v>0</v>
      </c>
      <c r="E187" s="11" t="n">
        <v>0</v>
      </c>
    </row>
    <row r="188">
      <c r="B188" s="3" t="inlineStr">
        <is>
          <t>Stick-built TDC per unit</t>
        </is>
      </c>
      <c r="C188" s="11" t="n">
        <v>0</v>
      </c>
      <c r="D188" s="11" t="n">
        <v>0</v>
      </c>
      <c r="E188" s="11" t="n">
        <v>0</v>
      </c>
    </row>
    <row r="189">
      <c r="B189" s="3" t="inlineStr">
        <is>
          <t>Modular saving per unit</t>
        </is>
      </c>
      <c r="C189" s="13" t="n">
        <v>0</v>
      </c>
      <c r="D189" s="13" t="n">
        <v>0</v>
      </c>
      <c r="E189" s="13" t="n">
        <v>0</v>
      </c>
    </row>
    <row r="190">
      <c r="B190" s="3" t="inlineStr">
        <is>
          <t>Appraised value used</t>
        </is>
      </c>
      <c r="C190" s="11" t="n">
        <v>0</v>
      </c>
      <c r="D190" s="11" t="n">
        <v>0</v>
      </c>
      <c r="E190" s="11" t="n">
        <v>0</v>
      </c>
    </row>
    <row r="191">
      <c r="B191" s="3" t="inlineStr">
        <is>
          <t>Modular subsidy needed per unit</t>
        </is>
      </c>
      <c r="C191" s="11" t="n">
        <v>0</v>
      </c>
      <c r="D191" s="11" t="n">
        <v>0</v>
      </c>
      <c r="E191" s="11" t="n">
        <v>0</v>
      </c>
    </row>
    <row r="192">
      <c r="B192" s="3" t="inlineStr">
        <is>
          <t>Modular remaining developer gap</t>
        </is>
      </c>
      <c r="C192" s="11" t="n">
        <v>0</v>
      </c>
      <c r="D192" s="11" t="n">
        <v>0</v>
      </c>
      <c r="E192" s="11" t="n">
        <v>0</v>
      </c>
    </row>
    <row r="193">
      <c r="B193" s="5" t="inlineStr">
        <is>
          <t>Modular = the construction method set in the explorer (Reframe unless changed). The appraisal stays at the value set for the base building.</t>
        </is>
      </c>
    </row>
    <row r="195">
      <c r="B195" s="6" t="inlineStr">
        <is>
          <t>10. WHAT MOVES THE REMAINING GAP: one change at a time</t>
        </is>
      </c>
      <c r="C195" s="7" t="n"/>
      <c r="D195" s="7" t="n"/>
      <c r="E195" s="7" t="n"/>
      <c r="F195" s="7" t="n"/>
      <c r="G195" s="7" t="n"/>
      <c r="H195" s="7" t="n"/>
      <c r="I195" s="7" t="n"/>
    </row>
    <row r="196">
      <c r="C196" s="12" t="inlineStr">
        <is>
          <t>Remaining gap</t>
        </is>
      </c>
      <c r="D196" s="12" t="inlineStr">
        <is>
          <t>Change vs. as set</t>
        </is>
      </c>
      <c r="E196" s="12" t="inlineStr">
        <is>
          <t>Subsidy needed</t>
        </is>
      </c>
    </row>
    <row r="197">
      <c r="B197" s="4" t="inlineStr">
        <is>
          <t>As set at export</t>
        </is>
      </c>
      <c r="C197" s="19" t="n">
        <v>0</v>
      </c>
      <c r="D197" s="20" t="n">
        <v>0</v>
      </c>
      <c r="E197" s="11" t="n">
        <v>0</v>
      </c>
    </row>
    <row r="198">
      <c r="B198" s="8" t="inlineStr"/>
      <c r="C198" s="11" t="n">
        <v>0</v>
      </c>
      <c r="D198" s="22">
        <f>C198-$C$197</f>
        <v/>
      </c>
      <c r="E198" s="11" t="n">
        <v>0</v>
      </c>
    </row>
    <row r="199">
      <c r="B199" s="8" t="inlineStr"/>
      <c r="C199" s="11" t="n">
        <v>0</v>
      </c>
      <c r="D199" s="22">
        <f>C199-$C$197</f>
        <v/>
      </c>
      <c r="E199" s="11" t="n">
        <v>0</v>
      </c>
    </row>
    <row r="200">
      <c r="B200" s="8" t="inlineStr"/>
      <c r="C200" s="11" t="n">
        <v>0</v>
      </c>
      <c r="D200" s="22">
        <f>C200-$C$197</f>
        <v/>
      </c>
      <c r="E200" s="11" t="n">
        <v>0</v>
      </c>
    </row>
    <row r="201">
      <c r="B201" s="8" t="inlineStr"/>
      <c r="C201" s="11" t="n">
        <v>0</v>
      </c>
      <c r="D201" s="22">
        <f>C201-$C$197</f>
        <v/>
      </c>
      <c r="E201" s="11" t="n">
        <v>0</v>
      </c>
    </row>
    <row r="202">
      <c r="B202" s="8" t="inlineStr"/>
      <c r="C202" s="11" t="n">
        <v>0</v>
      </c>
      <c r="D202" s="22">
        <f>C202-$C$197</f>
        <v/>
      </c>
      <c r="E202" s="11" t="n">
        <v>0</v>
      </c>
    </row>
    <row r="203">
      <c r="B203" s="8" t="inlineStr"/>
      <c r="C203" s="11" t="n">
        <v>0</v>
      </c>
      <c r="D203" s="22">
        <f>C203-$C$197</f>
        <v/>
      </c>
      <c r="E203" s="11" t="n">
        <v>0</v>
      </c>
    </row>
    <row r="204">
      <c r="B204" s="8" t="inlineStr"/>
      <c r="C204" s="11" t="n">
        <v>0</v>
      </c>
      <c r="D204" s="22">
        <f>C204-$C$197</f>
        <v/>
      </c>
      <c r="E204" s="11" t="n">
        <v>0</v>
      </c>
    </row>
    <row r="205">
      <c r="B205" s="8" t="inlineStr"/>
      <c r="C205" s="11" t="n">
        <v>0</v>
      </c>
      <c r="D205" s="22">
        <f>C205-$C$197</f>
        <v/>
      </c>
      <c r="E205" s="11" t="n">
        <v>0</v>
      </c>
    </row>
    <row r="206">
      <c r="B206" s="8" t="inlineStr"/>
      <c r="C206" s="11" t="n">
        <v>0</v>
      </c>
      <c r="D206" s="22">
        <f>C206-$C$197</f>
        <v/>
      </c>
      <c r="E206" s="11" t="n">
        <v>0</v>
      </c>
    </row>
    <row r="207">
      <c r="B207" s="8" t="inlineStr"/>
      <c r="C207" s="11" t="n">
        <v>0</v>
      </c>
      <c r="D207" s="22">
        <f>C207-$C$197</f>
        <v/>
      </c>
      <c r="E207" s="11" t="n">
        <v>0</v>
      </c>
    </row>
    <row r="208">
      <c r="B208" s="8" t="inlineStr"/>
      <c r="C208" s="11" t="n">
        <v>0</v>
      </c>
      <c r="D208" s="22">
        <f>C208-$C$197</f>
        <v/>
      </c>
      <c r="E208" s="11" t="n">
        <v>0</v>
      </c>
    </row>
    <row r="209">
      <c r="B209" s="8" t="inlineStr"/>
      <c r="C209" s="11" t="n">
        <v>0</v>
      </c>
      <c r="D209" s="22">
        <f>C209-$C$197</f>
        <v/>
      </c>
      <c r="E209" s="11" t="n">
        <v>0</v>
      </c>
    </row>
    <row r="210">
      <c r="B210" s="8" t="inlineStr"/>
      <c r="C210" s="11" t="n">
        <v>0</v>
      </c>
      <c r="D210" s="22">
        <f>C210-$C$197</f>
        <v/>
      </c>
      <c r="E210" s="11" t="n">
        <v>0</v>
      </c>
    </row>
    <row r="211">
      <c r="B211" s="8" t="inlineStr"/>
      <c r="C211" s="11" t="n">
        <v>0</v>
      </c>
      <c r="D211" s="22">
        <f>C211-$C$197</f>
        <v/>
      </c>
      <c r="E211" s="11" t="n">
        <v>0</v>
      </c>
    </row>
    <row r="212">
      <c r="B212" s="8" t="inlineStr"/>
      <c r="C212" s="11" t="n">
        <v>0</v>
      </c>
      <c r="D212" s="22">
        <f>C212-$C$197</f>
        <v/>
      </c>
      <c r="E212" s="11" t="n">
        <v>0</v>
      </c>
    </row>
    <row r="213">
      <c r="B213" s="8" t="inlineStr"/>
      <c r="C213" s="11" t="n">
        <v>0</v>
      </c>
      <c r="D213" s="22">
        <f>C213-$C$197</f>
        <v/>
      </c>
      <c r="E213" s="11" t="n">
        <v>0</v>
      </c>
    </row>
    <row r="214">
      <c r="B214" s="8" t="inlineStr"/>
      <c r="C214" s="11" t="n">
        <v>0</v>
      </c>
      <c r="D214" s="22">
        <f>C214-$C$197</f>
        <v/>
      </c>
      <c r="E214" s="11" t="n">
        <v>0</v>
      </c>
    </row>
    <row r="215">
      <c r="B215" s="8" t="inlineStr"/>
      <c r="C215" s="11" t="n">
        <v>0</v>
      </c>
      <c r="D215" s="22">
        <f>C215-$C$197</f>
        <v/>
      </c>
      <c r="E215" s="11" t="n">
        <v>0</v>
      </c>
    </row>
    <row r="216">
      <c r="B216" s="8" t="inlineStr"/>
      <c r="C216" s="11" t="n">
        <v>0</v>
      </c>
      <c r="D216" s="22">
        <f>C216-$C$197</f>
        <v/>
      </c>
      <c r="E216" s="11" t="n">
        <v>0</v>
      </c>
    </row>
    <row r="217">
      <c r="B217" s="8" t="inlineStr"/>
      <c r="C217" s="11" t="n">
        <v>0</v>
      </c>
      <c r="D217" s="22">
        <f>C217-$C$197</f>
        <v/>
      </c>
      <c r="E217" s="11" t="n">
        <v>0</v>
      </c>
    </row>
    <row r="218">
      <c r="B218" s="8" t="inlineStr"/>
      <c r="C218" s="11" t="n">
        <v>0</v>
      </c>
      <c r="D218" s="22">
        <f>C218-$C$197</f>
        <v/>
      </c>
      <c r="E218" s="11" t="n">
        <v>0</v>
      </c>
    </row>
    <row r="219">
      <c r="B219" s="5" t="inlineStr">
        <is>
          <t>Each row reruns the explorer model with one change from the scenario as 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6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THREE-CITY COMPARISON (linked to the city tabs)</t>
        </is>
      </c>
    </row>
    <row r="4">
      <c r="B4" s="7" t="inlineStr"/>
      <c r="C4" s="6" t="inlineStr">
        <is>
          <t>Hartford</t>
        </is>
      </c>
      <c r="D4" s="6" t="inlineStr">
        <is>
          <t>New Haven</t>
        </is>
      </c>
      <c r="E4" s="6" t="inlineStr">
        <is>
          <t>Waterbury</t>
        </is>
      </c>
    </row>
    <row r="5">
      <c r="B5" s="3" t="inlineStr">
        <is>
          <t>Building design</t>
        </is>
      </c>
      <c r="C5" s="8">
        <f>Hartford!$C$7</f>
        <v/>
      </c>
      <c r="D5" s="8">
        <f>'New Haven'!$C$7</f>
        <v/>
      </c>
      <c r="E5" s="8">
        <f>Waterbury!$C$7</f>
        <v/>
      </c>
    </row>
    <row r="6">
      <c r="B6" s="3" t="inlineStr">
        <is>
          <t>Owner income at target AMI</t>
        </is>
      </c>
      <c r="C6" s="11">
        <f>Hartford!$C$90</f>
        <v/>
      </c>
      <c r="D6" s="11">
        <f>'New Haven'!$C$90</f>
        <v/>
      </c>
      <c r="E6" s="11">
        <f>Waterbury!$C$90</f>
        <v/>
      </c>
    </row>
    <row r="7">
      <c r="B7" s="3" t="inlineStr">
        <is>
          <t>Most the buyer can pay</t>
        </is>
      </c>
      <c r="C7" s="11">
        <f>Hartford!$C$104</f>
        <v/>
      </c>
      <c r="D7" s="11">
        <f>'New Haven'!$C$104</f>
        <v/>
      </c>
      <c r="E7" s="11">
        <f>Waterbury!$C$104</f>
        <v/>
      </c>
    </row>
    <row r="8">
      <c r="B8" s="3" t="inlineStr">
        <is>
          <t>Appraised value</t>
        </is>
      </c>
      <c r="C8" s="11">
        <f>Hartford!$C$107</f>
        <v/>
      </c>
      <c r="D8" s="11">
        <f>'New Haven'!$C$107</f>
        <v/>
      </c>
      <c r="E8" s="11">
        <f>Waterbury!$C$107</f>
        <v/>
      </c>
    </row>
    <row r="9">
      <c r="B9" s="3" t="inlineStr">
        <is>
          <t>Most the buyer can pay as % of the existing-building median</t>
        </is>
      </c>
      <c r="C9" s="13">
        <f>Hartford!$C$122</f>
        <v/>
      </c>
      <c r="D9" s="13">
        <f>'New Haven'!$C$122</f>
        <v/>
      </c>
      <c r="E9" s="13">
        <f>Waterbury!$C$122</f>
        <v/>
      </c>
    </row>
    <row r="10">
      <c r="B10" s="3" t="inlineStr">
        <is>
          <t>Sales gap</t>
        </is>
      </c>
      <c r="C10" s="11">
        <f>Hartford!$C$108</f>
        <v/>
      </c>
      <c r="D10" s="11">
        <f>'New Haven'!$C$108</f>
        <v/>
      </c>
      <c r="E10" s="11">
        <f>Waterbury!$C$108</f>
        <v/>
      </c>
    </row>
    <row r="11">
      <c r="B11" s="3" t="inlineStr">
        <is>
          <t>Owner's net monthly cost (after rent received)</t>
        </is>
      </c>
      <c r="C11" s="11">
        <f>Hartford!$C$129</f>
        <v/>
      </c>
      <c r="D11" s="11">
        <f>'New Haven'!$C$129</f>
        <v/>
      </c>
      <c r="E11" s="11">
        <f>Waterbury!$C$129</f>
        <v/>
      </c>
    </row>
    <row r="12">
      <c r="B12" s="3" t="inlineStr">
        <is>
          <t>Net cost as % of owner income</t>
        </is>
      </c>
      <c r="C12" s="13">
        <f>Hartford!$C$130</f>
        <v/>
      </c>
      <c r="D12" s="13">
        <f>'New Haven'!$C$130</f>
        <v/>
      </c>
      <c r="E12" s="13">
        <f>Waterbury!$C$130</f>
        <v/>
      </c>
    </row>
    <row r="13">
      <c r="B13" s="3" t="inlineStr">
        <is>
          <t>Rent charged, rental unit</t>
        </is>
      </c>
      <c r="C13" s="11">
        <f>Hartford!$C$82</f>
        <v/>
      </c>
      <c r="D13" s="11">
        <f>'New Haven'!$C$82</f>
        <v/>
      </c>
      <c r="E13" s="11">
        <f>Waterbury!$C$82</f>
        <v/>
      </c>
    </row>
    <row r="14">
      <c r="B14" s="3" t="inlineStr">
        <is>
          <t>Market asking rent, rental unit</t>
        </is>
      </c>
      <c r="C14" s="11">
        <f>Hartford!$C$81</f>
        <v/>
      </c>
      <c r="D14" s="11">
        <f>'New Haven'!$C$81</f>
        <v/>
      </c>
      <c r="E14" s="11">
        <f>Waterbury!$C$81</f>
        <v/>
      </c>
    </row>
    <row r="15">
      <c r="B15" s="3" t="inlineStr">
        <is>
          <t>Total development cost</t>
        </is>
      </c>
      <c r="C15" s="11">
        <f>Hartford!$C$74</f>
        <v/>
      </c>
      <c r="D15" s="11">
        <f>'New Haven'!$C$74</f>
        <v/>
      </c>
      <c r="E15" s="11">
        <f>Waterbury!$C$74</f>
        <v/>
      </c>
    </row>
    <row r="16">
      <c r="B16" s="3" t="inlineStr">
        <is>
          <t>TDC per unit</t>
        </is>
      </c>
      <c r="C16" s="11">
        <f>Hartford!$C$75</f>
        <v/>
      </c>
      <c r="D16" s="11">
        <f>'New Haven'!$C$75</f>
        <v/>
      </c>
      <c r="E16" s="11">
        <f>Waterbury!$C$75</f>
        <v/>
      </c>
    </row>
    <row r="17">
      <c r="B17" s="3" t="inlineStr">
        <is>
          <t>Developer gap</t>
        </is>
      </c>
      <c r="C17" s="11">
        <f>Hartford!$C$112</f>
        <v/>
      </c>
      <c r="D17" s="11">
        <f>'New Haven'!$C$112</f>
        <v/>
      </c>
      <c r="E17" s="11">
        <f>Waterbury!$C$112</f>
        <v/>
      </c>
    </row>
    <row r="18">
      <c r="B18" s="4" t="inlineStr">
        <is>
          <t>Remaining developer gap</t>
        </is>
      </c>
      <c r="C18" s="11">
        <f>Hartford!$C$118</f>
        <v/>
      </c>
      <c r="D18" s="11">
        <f>'New Haven'!$C$118</f>
        <v/>
      </c>
      <c r="E18" s="11">
        <f>Waterbury!$C$118</f>
        <v/>
      </c>
    </row>
    <row r="19">
      <c r="B19" s="3" t="inlineStr">
        <is>
          <t>Total subsidy needed</t>
        </is>
      </c>
      <c r="C19" s="11">
        <f>Hartford!$C$119</f>
        <v/>
      </c>
      <c r="D19" s="11">
        <f>'New Haven'!$C$119</f>
        <v/>
      </c>
      <c r="E19" s="11">
        <f>Waterbury!$C$119</f>
        <v/>
      </c>
    </row>
    <row r="20">
      <c r="B20" s="4" t="inlineStr">
        <is>
          <t>Subsidy needed per unit</t>
        </is>
      </c>
      <c r="C20" s="11">
        <f>Hartford!$C$120</f>
        <v/>
      </c>
      <c r="D20" s="11">
        <f>'New Haven'!$C$120</f>
        <v/>
      </c>
      <c r="E20" s="11">
        <f>Waterbury!$C$120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2">
      <c r="B2" s="1" t="inlineStr">
        <is>
          <t>MARKET DATA: renter households by income band, 2024</t>
        </is>
      </c>
    </row>
    <row r="3">
      <c r="B3" s="5" t="inlineStr">
        <is>
          <t>Source: team AMI Distribution Analysis (ACS 2024 1-year B25118 renter households by income, HUD FY2024 3-person limits, incomes spread evenly within brackets). Counts are estimates with ACS margins of error.</t>
        </is>
      </c>
    </row>
    <row r="5">
      <c r="B5" s="6" t="inlineStr">
        <is>
          <t>Renter households</t>
        </is>
      </c>
      <c r="C5" s="6" t="inlineStr">
        <is>
          <t>Under 30% AMI</t>
        </is>
      </c>
      <c r="D5" s="6" t="inlineStr">
        <is>
          <t>30-50% AMI</t>
        </is>
      </c>
      <c r="E5" s="6" t="inlineStr">
        <is>
          <t>50-80% AMI</t>
        </is>
      </c>
      <c r="F5" s="6" t="inlineStr">
        <is>
          <t>80-100% AMI</t>
        </is>
      </c>
      <c r="G5" s="6" t="inlineStr">
        <is>
          <t>Over 100% AMI</t>
        </is>
      </c>
      <c r="H5" s="6" t="inlineStr">
        <is>
          <t>Total</t>
        </is>
      </c>
    </row>
    <row r="6">
      <c r="B6" s="3" t="inlineStr">
        <is>
          <t>Hartford</t>
        </is>
      </c>
      <c r="C6" s="23" t="n">
        <v>16254</v>
      </c>
      <c r="D6" s="23" t="n">
        <v>6026</v>
      </c>
      <c r="E6" s="23" t="n">
        <v>6832</v>
      </c>
      <c r="F6" s="23" t="n">
        <v>2875</v>
      </c>
      <c r="G6" s="23" t="n">
        <v>4437</v>
      </c>
      <c r="H6" s="23">
        <f>SUM(C6:G6)</f>
        <v/>
      </c>
    </row>
    <row r="7">
      <c r="B7" s="3" t="inlineStr">
        <is>
          <t>New Haven</t>
        </is>
      </c>
      <c r="C7" s="23" t="n">
        <v>12538</v>
      </c>
      <c r="D7" s="23" t="n">
        <v>8612</v>
      </c>
      <c r="E7" s="23" t="n">
        <v>6594</v>
      </c>
      <c r="F7" s="23" t="n">
        <v>3329</v>
      </c>
      <c r="G7" s="23" t="n">
        <v>8313</v>
      </c>
      <c r="H7" s="23">
        <f>SUM(C7:G7)</f>
        <v/>
      </c>
    </row>
    <row r="8">
      <c r="B8" s="3" t="inlineStr">
        <is>
          <t>Waterbury</t>
        </is>
      </c>
      <c r="C8" s="23" t="n">
        <v>12085</v>
      </c>
      <c r="D8" s="23" t="n">
        <v>5163</v>
      </c>
      <c r="E8" s="23" t="n">
        <v>4078</v>
      </c>
      <c r="F8" s="23" t="n">
        <v>755</v>
      </c>
      <c r="G8" s="23" t="n">
        <v>1542</v>
      </c>
      <c r="H8" s="23">
        <f>SUM(C8:G8)</f>
        <v/>
      </c>
    </row>
    <row r="10">
      <c r="B10" s="6" t="inlineStr">
        <is>
          <t>Share of renter households</t>
        </is>
      </c>
      <c r="C10" s="6" t="inlineStr">
        <is>
          <t>Under 30% AMI</t>
        </is>
      </c>
      <c r="D10" s="6" t="inlineStr">
        <is>
          <t>30-50% AMI</t>
        </is>
      </c>
      <c r="E10" s="6" t="inlineStr">
        <is>
          <t>50-80% AMI</t>
        </is>
      </c>
      <c r="F10" s="6" t="inlineStr">
        <is>
          <t>80-100% AMI</t>
        </is>
      </c>
      <c r="G10" s="6" t="inlineStr">
        <is>
          <t>Over 100% AMI</t>
        </is>
      </c>
    </row>
    <row r="11">
      <c r="B11" s="3" t="inlineStr">
        <is>
          <t>Hartford</t>
        </is>
      </c>
      <c r="C11" s="24">
        <f>C6/$H6</f>
        <v/>
      </c>
      <c r="D11" s="24">
        <f>D6/$H6</f>
        <v/>
      </c>
      <c r="E11" s="24">
        <f>E6/$H6</f>
        <v/>
      </c>
      <c r="F11" s="24">
        <f>F6/$H6</f>
        <v/>
      </c>
      <c r="G11" s="24">
        <f>G6/$H6</f>
        <v/>
      </c>
    </row>
    <row r="12">
      <c r="B12" s="3" t="inlineStr">
        <is>
          <t>New Haven</t>
        </is>
      </c>
      <c r="C12" s="24">
        <f>C7/$H7</f>
        <v/>
      </c>
      <c r="D12" s="24">
        <f>D7/$H7</f>
        <v/>
      </c>
      <c r="E12" s="24">
        <f>E7/$H7</f>
        <v/>
      </c>
      <c r="F12" s="24">
        <f>F7/$H7</f>
        <v/>
      </c>
      <c r="G12" s="24">
        <f>G7/$H7</f>
        <v/>
      </c>
    </row>
    <row r="13">
      <c r="B13" s="3" t="inlineStr">
        <is>
          <t>Waterbury</t>
        </is>
      </c>
      <c r="C13" s="24">
        <f>C8/$H8</f>
        <v/>
      </c>
      <c r="D13" s="24">
        <f>D8/$H8</f>
        <v/>
      </c>
      <c r="E13" s="24">
        <f>E8/$H8</f>
        <v/>
      </c>
      <c r="F13" s="24">
        <f>F8/$H8</f>
        <v/>
      </c>
      <c r="G13" s="24">
        <f>G8/$H8</f>
        <v/>
      </c>
    </row>
    <row r="16">
      <c r="B16" s="4" t="inlineStr">
        <is>
          <t>CITY PROFILES (deck: 'Three cities, three markets' slide)</t>
        </is>
      </c>
    </row>
    <row r="17">
      <c r="B17" s="5" t="inlineStr">
        <is>
          <t>Sources: Census QuickFacts V2025; ACS 2024 1-year (homeownership B25118, median income B19013, poverty); Zillow asking rents Sept 2026 (New Haven) and Redfin Aug 2026; CT CAMA 2023-26; team AMI analysis. Rows marked "explorer" come from the export.</t>
        </is>
      </c>
    </row>
    <row r="18">
      <c r="B18" s="6" t="inlineStr">
        <is>
          <t>Metric</t>
        </is>
      </c>
      <c r="C18" s="6" t="inlineStr">
        <is>
          <t>Hartford</t>
        </is>
      </c>
      <c r="D18" s="6" t="inlineStr">
        <is>
          <t>New Haven</t>
        </is>
      </c>
      <c r="E18" s="6" t="inlineStr">
        <is>
          <t>Waterbury</t>
        </is>
      </c>
      <c r="F18" s="6" t="inlineStr">
        <is>
          <t>From</t>
        </is>
      </c>
    </row>
    <row r="19">
      <c r="B19" s="3" t="inlineStr">
        <is>
          <t>Population, July 2025</t>
        </is>
      </c>
      <c r="C19" s="9" t="n">
        <v>121981</v>
      </c>
      <c r="D19" s="9" t="n">
        <v>138774</v>
      </c>
      <c r="E19" s="9" t="n">
        <v>115771</v>
      </c>
      <c r="F19" s="5" t="inlineStr">
        <is>
          <t>static</t>
        </is>
      </c>
    </row>
    <row r="20">
      <c r="B20" s="3" t="inlineStr">
        <is>
          <t>Population change since 2020</t>
        </is>
      </c>
      <c r="C20" s="13" t="n">
        <v>0.003</v>
      </c>
      <c r="D20" s="13" t="n">
        <v>0.036</v>
      </c>
      <c r="E20" s="13" t="n">
        <v>0.012</v>
      </c>
      <c r="F20" s="5" t="inlineStr">
        <is>
          <t>static</t>
        </is>
      </c>
    </row>
    <row r="21">
      <c r="B21" s="3" t="inlineStr">
        <is>
          <t>Homeownership rate</t>
        </is>
      </c>
      <c r="C21" s="13" t="n">
        <v>0.26</v>
      </c>
      <c r="D21" s="13" t="n">
        <v>0.3</v>
      </c>
      <c r="E21" s="13" t="n">
        <v>0.46</v>
      </c>
      <c r="F21" s="5" t="inlineStr">
        <is>
          <t>static</t>
        </is>
      </c>
    </row>
    <row r="22">
      <c r="B22" s="3" t="inlineStr">
        <is>
          <t>Median household income (city)</t>
        </is>
      </c>
      <c r="C22" s="11" t="n">
        <v>50418</v>
      </c>
      <c r="D22" s="11" t="n">
        <v>59705</v>
      </c>
      <c r="E22" s="11" t="n">
        <v>47881</v>
      </c>
      <c r="F22" s="5" t="inlineStr">
        <is>
          <t>static</t>
        </is>
      </c>
    </row>
    <row r="23">
      <c r="B23" s="3" t="inlineStr">
        <is>
          <t>Area median income, 4-person (HUD published)</t>
        </is>
      </c>
      <c r="C23" s="11" t="n">
        <v>129200</v>
      </c>
      <c r="D23" s="11" t="n">
        <v>123200</v>
      </c>
      <c r="E23" s="11" t="n">
        <v>114000</v>
      </c>
      <c r="F23" s="5" t="inlineStr">
        <is>
          <t>static</t>
        </is>
      </c>
    </row>
    <row r="24">
      <c r="B24" s="3" t="inlineStr">
        <is>
          <t>60% AMI, 4-person (model: 2 x 50% limit x 0.6)</t>
        </is>
      </c>
      <c r="C24" s="11" t="n">
        <v>0</v>
      </c>
      <c r="D24" s="11" t="n">
        <v>0</v>
      </c>
      <c r="E24" s="11" t="n">
        <v>0</v>
      </c>
      <c r="F24" s="5" t="inlineStr">
        <is>
          <t>explorer</t>
        </is>
      </c>
    </row>
    <row r="25">
      <c r="B25" s="3" t="inlineStr">
        <is>
          <t>80% AMI, 4-person (model)</t>
        </is>
      </c>
      <c r="C25" s="11" t="n">
        <v>0</v>
      </c>
      <c r="D25" s="11" t="n">
        <v>0</v>
      </c>
      <c r="E25" s="11" t="n">
        <v>0</v>
      </c>
      <c r="F25" s="5" t="inlineStr">
        <is>
          <t>explorer</t>
        </is>
      </c>
    </row>
    <row r="26">
      <c r="B26" s="3" t="inlineStr">
        <is>
          <t>Asking rent, 1BR</t>
        </is>
      </c>
      <c r="C26" s="11" t="n">
        <v>0</v>
      </c>
      <c r="D26" s="11" t="n">
        <v>0</v>
      </c>
      <c r="E26" s="11" t="n">
        <v>0</v>
      </c>
      <c r="F26" s="5" t="inlineStr">
        <is>
          <t>explorer</t>
        </is>
      </c>
    </row>
    <row r="27">
      <c r="B27" s="3" t="inlineStr">
        <is>
          <t>Asking rent, 2BR</t>
        </is>
      </c>
      <c r="C27" s="11" t="n">
        <v>0</v>
      </c>
      <c r="D27" s="11" t="n">
        <v>0</v>
      </c>
      <c r="E27" s="11" t="n">
        <v>0</v>
      </c>
      <c r="F27" s="5" t="inlineStr">
        <is>
          <t>explorer</t>
        </is>
      </c>
    </row>
    <row r="28">
      <c r="B28" s="3" t="inlineStr">
        <is>
          <t>Asking rent, 3BR</t>
        </is>
      </c>
      <c r="C28" s="11" t="n">
        <v>0</v>
      </c>
      <c r="D28" s="11" t="n">
        <v>0</v>
      </c>
      <c r="E28" s="11" t="n">
        <v>0</v>
      </c>
      <c r="F28" s="5" t="inlineStr">
        <is>
          <t>explorer</t>
        </is>
      </c>
    </row>
    <row r="29">
      <c r="B29" s="3" t="inlineStr">
        <is>
          <t>60% AMI rent limit, 2BR (gross, rent + utilities)</t>
        </is>
      </c>
      <c r="C29" s="11" t="n">
        <v>0</v>
      </c>
      <c r="D29" s="11" t="n">
        <v>0</v>
      </c>
      <c r="E29" s="11" t="n">
        <v>0</v>
      </c>
      <c r="F29" s="5" t="inlineStr">
        <is>
          <t>explorer</t>
        </is>
      </c>
    </row>
    <row r="30">
      <c r="B30" s="3" t="inlineStr">
        <is>
          <t>Median sale price, all homes (Redfin)</t>
        </is>
      </c>
      <c r="C30" s="11" t="n">
        <v>339775</v>
      </c>
      <c r="D30" s="11" t="n">
        <v>399735</v>
      </c>
      <c r="E30" s="11" t="n">
        <v>309795</v>
      </c>
      <c r="F30" s="5" t="inlineStr">
        <is>
          <t>static</t>
        </is>
      </c>
    </row>
    <row r="31">
      <c r="B31" s="3" t="inlineStr">
        <is>
          <t>Median sale, existing 2-unit (CAMA)</t>
        </is>
      </c>
      <c r="C31" s="11" t="n">
        <v>0</v>
      </c>
      <c r="D31" s="11" t="n">
        <v>0</v>
      </c>
      <c r="E31" s="11" t="n">
        <v>0</v>
      </c>
      <c r="F31" s="5" t="inlineStr">
        <is>
          <t>explorer</t>
        </is>
      </c>
    </row>
    <row r="32">
      <c r="B32" s="3" t="inlineStr">
        <is>
          <t>Renters below 50% AMI</t>
        </is>
      </c>
      <c r="C32" s="10" t="n">
        <v>0.61</v>
      </c>
      <c r="D32" s="10" t="n">
        <v>0.54</v>
      </c>
      <c r="E32" s="10" t="n">
        <v>0.73</v>
      </c>
      <c r="F32" s="5" t="inlineStr">
        <is>
          <t>static</t>
        </is>
      </c>
    </row>
    <row r="33">
      <c r="B33" s="3" t="inlineStr">
        <is>
          <t>Poverty rate</t>
        </is>
      </c>
      <c r="C33" s="13" t="n">
        <v>0.275</v>
      </c>
      <c r="D33" s="13" t="n">
        <v>0.251</v>
      </c>
      <c r="E33" s="13" t="n">
        <v>0.259</v>
      </c>
      <c r="F33" s="5" t="inlineStr">
        <is>
          <t>static</t>
        </is>
      </c>
    </row>
    <row r="34">
      <c r="B34" s="3" t="inlineStr">
        <is>
          <t>Hispanic or Latino (any race)</t>
        </is>
      </c>
      <c r="C34" s="13" t="n">
        <v>0.445</v>
      </c>
      <c r="D34" s="13" t="n">
        <v>0.31</v>
      </c>
      <c r="E34" s="13" t="n">
        <v>0.385</v>
      </c>
      <c r="F34" s="5" t="inlineStr">
        <is>
          <t>static</t>
        </is>
      </c>
    </row>
    <row r="35">
      <c r="B35" s="3" t="inlineStr">
        <is>
          <t>Black</t>
        </is>
      </c>
      <c r="C35" s="13" t="n">
        <v>0.358</v>
      </c>
      <c r="D35" s="13" t="n">
        <v>0.295</v>
      </c>
      <c r="E35" s="13" t="n">
        <v>0.252</v>
      </c>
      <c r="F35" s="5" t="inlineStr">
        <is>
          <t>static</t>
        </is>
      </c>
    </row>
    <row r="36">
      <c r="B36" s="3" t="inlineStr">
        <is>
          <t>White, non-Hispanic</t>
        </is>
      </c>
      <c r="C36" s="13" t="n">
        <v>0.151</v>
      </c>
      <c r="D36" s="13" t="n">
        <v>0.3</v>
      </c>
      <c r="E36" s="13" t="n">
        <v>0.293</v>
      </c>
      <c r="F36" s="5" t="inlineStr">
        <is>
          <t>static</t>
        </is>
      </c>
    </row>
    <row r="37">
      <c r="B37" s="3" t="inlineStr">
        <is>
          <t>Income needed to buy the median home (% of AMI)</t>
        </is>
      </c>
      <c r="C37" s="10" t="n">
        <v>1.16</v>
      </c>
      <c r="D37" s="10" t="n">
        <v>1.2</v>
      </c>
      <c r="E37" s="10" t="n">
        <v>1.15</v>
      </c>
      <c r="F37" s="5" t="inlineStr">
        <is>
          <t>static</t>
        </is>
      </c>
    </row>
    <row r="38">
      <c r="B38" s="3" t="inlineStr">
        <is>
          <t>Market role</t>
        </is>
      </c>
      <c r="C38" s="8" t="inlineStr">
        <is>
          <t>Deep-need rental</t>
        </is>
      </c>
      <c r="D38" s="8" t="inlineStr">
        <is>
          <t>Growing, high-revenue</t>
        </is>
      </c>
      <c r="E38" s="8" t="inlineStr">
        <is>
          <t>Ownership city</t>
        </is>
      </c>
      <c r="F38" s="5" t="inlineStr">
        <is>
          <t>static</t>
        </is>
      </c>
    </row>
    <row r="39">
      <c r="B39" s="3" t="inlineStr">
        <is>
          <t>City median income as % of AMI</t>
        </is>
      </c>
      <c r="C39" s="24">
        <f>C22/C23</f>
        <v/>
      </c>
      <c r="D39" s="24">
        <f>D22/D23</f>
        <v/>
      </c>
      <c r="E39" s="24">
        <f>E22/E23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3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CHARTS: native Excel charts for the deck. Data blocks link to the city tabs and Market Data.</t>
        </is>
      </c>
    </row>
    <row r="3">
      <c r="B3" s="5" t="inlineStr">
        <is>
          <t>To keep a chart linked in PowerPoint: copy it here and use Paste Special &gt; 'Use Destination Theme &amp; Link Data'. Right-click any series to recolor it.</t>
        </is>
      </c>
    </row>
    <row r="4">
      <c r="B4" s="2" t="inlineStr"/>
    </row>
    <row r="5">
      <c r="B5" s="4" t="inlineStr">
        <is>
          <t>A. Most a buyer can pay vs. the appraisal, by owner income (deck: affordability curve)</t>
        </is>
      </c>
    </row>
    <row r="6">
      <c r="B6" s="4" t="inlineStr">
        <is>
          <t>Owner income, % of AMI</t>
        </is>
      </c>
      <c r="C6" s="24">
        <f>'New Haven'!C170</f>
        <v/>
      </c>
      <c r="D6" s="24">
        <f>'New Haven'!D170</f>
        <v/>
      </c>
      <c r="E6" s="24">
        <f>'New Haven'!E170</f>
        <v/>
      </c>
      <c r="F6" s="24">
        <f>'New Haven'!F170</f>
        <v/>
      </c>
      <c r="G6" s="24">
        <f>'New Haven'!G170</f>
        <v/>
      </c>
      <c r="H6" s="24">
        <f>'New Haven'!H170</f>
        <v/>
      </c>
      <c r="I6" s="24">
        <f>'New Haven'!I170</f>
        <v/>
      </c>
    </row>
    <row r="7">
      <c r="B7" s="3" t="inlineStr">
        <is>
          <t>Hartford: most the buyer can pay</t>
        </is>
      </c>
      <c r="C7" s="20">
        <f>Hartford!C174</f>
        <v/>
      </c>
      <c r="D7" s="20">
        <f>Hartford!D174</f>
        <v/>
      </c>
      <c r="E7" s="20">
        <f>Hartford!E174</f>
        <v/>
      </c>
      <c r="F7" s="20">
        <f>Hartford!F174</f>
        <v/>
      </c>
      <c r="G7" s="20">
        <f>Hartford!G174</f>
        <v/>
      </c>
      <c r="H7" s="20">
        <f>Hartford!H174</f>
        <v/>
      </c>
      <c r="I7" s="20">
        <f>Hartford!I174</f>
        <v/>
      </c>
    </row>
    <row r="8">
      <c r="B8" s="3" t="inlineStr">
        <is>
          <t>Hartford: appraised value</t>
        </is>
      </c>
      <c r="C8" s="20">
        <f>Hartford!C175</f>
        <v/>
      </c>
      <c r="D8" s="20">
        <f>Hartford!D175</f>
        <v/>
      </c>
      <c r="E8" s="20">
        <f>Hartford!E175</f>
        <v/>
      </c>
      <c r="F8" s="20">
        <f>Hartford!F175</f>
        <v/>
      </c>
      <c r="G8" s="20">
        <f>Hartford!G175</f>
        <v/>
      </c>
      <c r="H8" s="20">
        <f>Hartford!H175</f>
        <v/>
      </c>
      <c r="I8" s="20">
        <f>Hartford!I175</f>
        <v/>
      </c>
    </row>
    <row r="9">
      <c r="B9" s="3" t="inlineStr">
        <is>
          <t>New Haven: most the buyer can pay</t>
        </is>
      </c>
      <c r="C9" s="20">
        <f>'New Haven'!C174</f>
        <v/>
      </c>
      <c r="D9" s="20">
        <f>'New Haven'!D174</f>
        <v/>
      </c>
      <c r="E9" s="20">
        <f>'New Haven'!E174</f>
        <v/>
      </c>
      <c r="F9" s="20">
        <f>'New Haven'!F174</f>
        <v/>
      </c>
      <c r="G9" s="20">
        <f>'New Haven'!G174</f>
        <v/>
      </c>
      <c r="H9" s="20">
        <f>'New Haven'!H174</f>
        <v/>
      </c>
      <c r="I9" s="20">
        <f>'New Haven'!I174</f>
        <v/>
      </c>
    </row>
    <row r="10">
      <c r="B10" s="3" t="inlineStr">
        <is>
          <t>New Haven: appraised value</t>
        </is>
      </c>
      <c r="C10" s="20">
        <f>'New Haven'!C175</f>
        <v/>
      </c>
      <c r="D10" s="20">
        <f>'New Haven'!D175</f>
        <v/>
      </c>
      <c r="E10" s="20">
        <f>'New Haven'!E175</f>
        <v/>
      </c>
      <c r="F10" s="20">
        <f>'New Haven'!F175</f>
        <v/>
      </c>
      <c r="G10" s="20">
        <f>'New Haven'!G175</f>
        <v/>
      </c>
      <c r="H10" s="20">
        <f>'New Haven'!H175</f>
        <v/>
      </c>
      <c r="I10" s="20">
        <f>'New Haven'!I175</f>
        <v/>
      </c>
    </row>
    <row r="11">
      <c r="B11" s="3" t="inlineStr">
        <is>
          <t>Waterbury: most the buyer can pay</t>
        </is>
      </c>
      <c r="C11" s="20">
        <f>Waterbury!C174</f>
        <v/>
      </c>
      <c r="D11" s="20">
        <f>Waterbury!D174</f>
        <v/>
      </c>
      <c r="E11" s="20">
        <f>Waterbury!E174</f>
        <v/>
      </c>
      <c r="F11" s="20">
        <f>Waterbury!F174</f>
        <v/>
      </c>
      <c r="G11" s="20">
        <f>Waterbury!G174</f>
        <v/>
      </c>
      <c r="H11" s="20">
        <f>Waterbury!H174</f>
        <v/>
      </c>
      <c r="I11" s="20">
        <f>Waterbury!I174</f>
        <v/>
      </c>
    </row>
    <row r="12">
      <c r="B12" s="3" t="inlineStr">
        <is>
          <t>Waterbury: appraised value</t>
        </is>
      </c>
      <c r="C12" s="20">
        <f>Waterbury!C175</f>
        <v/>
      </c>
      <c r="D12" s="20">
        <f>Waterbury!D175</f>
        <v/>
      </c>
      <c r="E12" s="20">
        <f>Waterbury!E175</f>
        <v/>
      </c>
      <c r="F12" s="20">
        <f>Waterbury!F175</f>
        <v/>
      </c>
      <c r="G12" s="20">
        <f>Waterbury!G175</f>
        <v/>
      </c>
      <c r="H12" s="20">
        <f>Waterbury!H175</f>
        <v/>
      </c>
      <c r="I12" s="20">
        <f>Waterbury!I175</f>
        <v/>
      </c>
    </row>
    <row r="33">
      <c r="B33" s="4" t="inlineStr">
        <is>
          <t>B. Renter households by income band, 2024 (deck: buyer pool)</t>
        </is>
      </c>
    </row>
    <row r="34">
      <c r="B34" s="4" t="inlineStr">
        <is>
          <t>City</t>
        </is>
      </c>
      <c r="C34" s="4" t="inlineStr">
        <is>
          <t>Under 30% AMI</t>
        </is>
      </c>
      <c r="D34" s="4" t="inlineStr">
        <is>
          <t>30-50% AMI</t>
        </is>
      </c>
      <c r="E34" s="4" t="inlineStr">
        <is>
          <t>50-80% AMI</t>
        </is>
      </c>
      <c r="F34" s="4" t="inlineStr">
        <is>
          <t>80-100% AMI</t>
        </is>
      </c>
      <c r="G34" s="4" t="inlineStr">
        <is>
          <t>Over 100% AMI</t>
        </is>
      </c>
    </row>
    <row r="35">
      <c r="B35">
        <f>'Market Data'!B11</f>
        <v/>
      </c>
      <c r="C35" s="24">
        <f>'Market Data'!C11</f>
        <v/>
      </c>
      <c r="D35" s="24">
        <f>'Market Data'!D11</f>
        <v/>
      </c>
      <c r="E35" s="24">
        <f>'Market Data'!E11</f>
        <v/>
      </c>
      <c r="F35" s="24">
        <f>'Market Data'!F11</f>
        <v/>
      </c>
      <c r="G35" s="24">
        <f>'Market Data'!G11</f>
        <v/>
      </c>
    </row>
    <row r="36">
      <c r="B36">
        <f>'Market Data'!B12</f>
        <v/>
      </c>
      <c r="C36" s="24">
        <f>'Market Data'!C12</f>
        <v/>
      </c>
      <c r="D36" s="24">
        <f>'Market Data'!D12</f>
        <v/>
      </c>
      <c r="E36" s="24">
        <f>'Market Data'!E12</f>
        <v/>
      </c>
      <c r="F36" s="24">
        <f>'Market Data'!F12</f>
        <v/>
      </c>
      <c r="G36" s="24">
        <f>'Market Data'!G12</f>
        <v/>
      </c>
    </row>
    <row r="37">
      <c r="B37">
        <f>'Market Data'!B13</f>
        <v/>
      </c>
      <c r="C37" s="24">
        <f>'Market Data'!C13</f>
        <v/>
      </c>
      <c r="D37" s="24">
        <f>'Market Data'!D13</f>
        <v/>
      </c>
      <c r="E37" s="24">
        <f>'Market Data'!E13</f>
        <v/>
      </c>
      <c r="F37" s="24">
        <f>'Market Data'!F13</f>
        <v/>
      </c>
      <c r="G37" s="24">
        <f>'Market Data'!G13</f>
        <v/>
      </c>
    </row>
    <row r="57">
      <c r="B57" s="4" t="inlineStr">
        <is>
          <t>C. Uses vs. sources, one Hartford building (deck: city model)</t>
        </is>
      </c>
    </row>
    <row r="58">
      <c r="C58" s="4" t="inlineStr">
        <is>
          <t>Uses</t>
        </is>
      </c>
      <c r="D58" s="4" t="inlineStr">
        <is>
          <t>Sources</t>
        </is>
      </c>
    </row>
    <row r="59">
      <c r="B59">
        <f>Hartford!B136</f>
        <v/>
      </c>
      <c r="C59" s="20">
        <f>Hartford!C136</f>
        <v/>
      </c>
      <c r="D59" s="20">
        <f>Hartford!D136</f>
        <v/>
      </c>
    </row>
    <row r="60">
      <c r="B60">
        <f>Hartford!B137</f>
        <v/>
      </c>
      <c r="C60" s="20">
        <f>Hartford!C137</f>
        <v/>
      </c>
      <c r="D60" s="20">
        <f>Hartford!D137</f>
        <v/>
      </c>
    </row>
    <row r="61">
      <c r="B61">
        <f>Hartford!B138</f>
        <v/>
      </c>
      <c r="C61" s="20">
        <f>Hartford!C138</f>
        <v/>
      </c>
      <c r="D61" s="20">
        <f>Hartford!D138</f>
        <v/>
      </c>
    </row>
    <row r="62">
      <c r="B62">
        <f>Hartford!B139</f>
        <v/>
      </c>
      <c r="C62" s="20">
        <f>Hartford!C139</f>
        <v/>
      </c>
      <c r="D62" s="20">
        <f>Hartford!D139</f>
        <v/>
      </c>
    </row>
    <row r="63">
      <c r="B63">
        <f>Hartford!B140</f>
        <v/>
      </c>
      <c r="C63" s="20">
        <f>Hartford!C140</f>
        <v/>
      </c>
      <c r="D63" s="20">
        <f>Hartford!D140</f>
        <v/>
      </c>
    </row>
    <row r="64">
      <c r="B64">
        <f>Hartford!B141</f>
        <v/>
      </c>
      <c r="C64" s="20">
        <f>Hartford!C141</f>
        <v/>
      </c>
      <c r="D64" s="20">
        <f>Hartford!D141</f>
        <v/>
      </c>
    </row>
    <row r="65">
      <c r="B65">
        <f>Hartford!B142</f>
        <v/>
      </c>
      <c r="C65" s="20">
        <f>Hartford!C142</f>
        <v/>
      </c>
      <c r="D65" s="20">
        <f>Hartford!D142</f>
        <v/>
      </c>
    </row>
    <row r="66">
      <c r="B66">
        <f>Hartford!B143</f>
        <v/>
      </c>
      <c r="C66" s="20">
        <f>Hartford!C143</f>
        <v/>
      </c>
      <c r="D66" s="20">
        <f>Hartford!D143</f>
        <v/>
      </c>
    </row>
    <row r="67">
      <c r="B67">
        <f>Hartford!B144</f>
        <v/>
      </c>
      <c r="C67" s="20">
        <f>Hartford!C144</f>
        <v/>
      </c>
      <c r="D67" s="20">
        <f>Hartford!D144</f>
        <v/>
      </c>
    </row>
    <row r="68">
      <c r="B68">
        <f>Hartford!B145</f>
        <v/>
      </c>
      <c r="C68" s="20">
        <f>Hartford!C145</f>
        <v/>
      </c>
      <c r="D68" s="20">
        <f>Hartford!D145</f>
        <v/>
      </c>
    </row>
    <row r="69">
      <c r="B69">
        <f>Hartford!B146</f>
        <v/>
      </c>
      <c r="C69" s="20">
        <f>Hartford!C146</f>
        <v/>
      </c>
      <c r="D69" s="20">
        <f>Hartford!D146</f>
        <v/>
      </c>
    </row>
    <row r="70">
      <c r="B70">
        <f>Hartford!B147</f>
        <v/>
      </c>
      <c r="C70" s="20">
        <f>Hartford!C147</f>
        <v/>
      </c>
      <c r="D70" s="20">
        <f>Hartford!D147</f>
        <v/>
      </c>
    </row>
    <row r="71">
      <c r="B71">
        <f>Hartford!B148</f>
        <v/>
      </c>
      <c r="C71" s="20">
        <f>Hartford!C148</f>
        <v/>
      </c>
      <c r="D71" s="20">
        <f>Hartford!D148</f>
        <v/>
      </c>
    </row>
    <row r="72">
      <c r="B72">
        <f>Hartford!B149</f>
        <v/>
      </c>
      <c r="C72" s="20">
        <f>Hartford!C149</f>
        <v/>
      </c>
      <c r="D72" s="20">
        <f>Hartford!D149</f>
        <v/>
      </c>
    </row>
    <row r="73">
      <c r="B73">
        <f>Hartford!B150</f>
        <v/>
      </c>
      <c r="C73" s="20">
        <f>Hartford!C150</f>
        <v/>
      </c>
      <c r="D73" s="20">
        <f>Hartford!D150</f>
        <v/>
      </c>
    </row>
    <row r="74">
      <c r="B74">
        <f>Hartford!B151</f>
        <v/>
      </c>
      <c r="C74" s="20">
        <f>Hartford!C151</f>
        <v/>
      </c>
      <c r="D74" s="20">
        <f>Hartford!D151</f>
        <v/>
      </c>
    </row>
    <row r="79">
      <c r="B79" s="4" t="inlineStr">
        <is>
          <t>C. Uses vs. sources, one New Haven building (deck: city model)</t>
        </is>
      </c>
    </row>
    <row r="80">
      <c r="C80" s="4" t="inlineStr">
        <is>
          <t>Uses</t>
        </is>
      </c>
      <c r="D80" s="4" t="inlineStr">
        <is>
          <t>Sources</t>
        </is>
      </c>
    </row>
    <row r="81">
      <c r="B81">
        <f>'New Haven'!B136</f>
        <v/>
      </c>
      <c r="C81" s="20">
        <f>'New Haven'!C136</f>
        <v/>
      </c>
      <c r="D81" s="20">
        <f>'New Haven'!D136</f>
        <v/>
      </c>
    </row>
    <row r="82">
      <c r="B82">
        <f>'New Haven'!B137</f>
        <v/>
      </c>
      <c r="C82" s="20">
        <f>'New Haven'!C137</f>
        <v/>
      </c>
      <c r="D82" s="20">
        <f>'New Haven'!D137</f>
        <v/>
      </c>
    </row>
    <row r="83">
      <c r="B83">
        <f>'New Haven'!B138</f>
        <v/>
      </c>
      <c r="C83" s="20">
        <f>'New Haven'!C138</f>
        <v/>
      </c>
      <c r="D83" s="20">
        <f>'New Haven'!D138</f>
        <v/>
      </c>
    </row>
    <row r="84">
      <c r="B84">
        <f>'New Haven'!B139</f>
        <v/>
      </c>
      <c r="C84" s="20">
        <f>'New Haven'!C139</f>
        <v/>
      </c>
      <c r="D84" s="20">
        <f>'New Haven'!D139</f>
        <v/>
      </c>
    </row>
    <row r="85">
      <c r="B85">
        <f>'New Haven'!B140</f>
        <v/>
      </c>
      <c r="C85" s="20">
        <f>'New Haven'!C140</f>
        <v/>
      </c>
      <c r="D85" s="20">
        <f>'New Haven'!D140</f>
        <v/>
      </c>
    </row>
    <row r="86">
      <c r="B86">
        <f>'New Haven'!B141</f>
        <v/>
      </c>
      <c r="C86" s="20">
        <f>'New Haven'!C141</f>
        <v/>
      </c>
      <c r="D86" s="20">
        <f>'New Haven'!D141</f>
        <v/>
      </c>
    </row>
    <row r="87">
      <c r="B87">
        <f>'New Haven'!B142</f>
        <v/>
      </c>
      <c r="C87" s="20">
        <f>'New Haven'!C142</f>
        <v/>
      </c>
      <c r="D87" s="20">
        <f>'New Haven'!D142</f>
        <v/>
      </c>
    </row>
    <row r="88">
      <c r="B88">
        <f>'New Haven'!B143</f>
        <v/>
      </c>
      <c r="C88" s="20">
        <f>'New Haven'!C143</f>
        <v/>
      </c>
      <c r="D88" s="20">
        <f>'New Haven'!D143</f>
        <v/>
      </c>
    </row>
    <row r="89">
      <c r="B89">
        <f>'New Haven'!B144</f>
        <v/>
      </c>
      <c r="C89" s="20">
        <f>'New Haven'!C144</f>
        <v/>
      </c>
      <c r="D89" s="20">
        <f>'New Haven'!D144</f>
        <v/>
      </c>
    </row>
    <row r="90">
      <c r="B90">
        <f>'New Haven'!B145</f>
        <v/>
      </c>
      <c r="C90" s="20">
        <f>'New Haven'!C145</f>
        <v/>
      </c>
      <c r="D90" s="20">
        <f>'New Haven'!D145</f>
        <v/>
      </c>
    </row>
    <row r="91">
      <c r="B91">
        <f>'New Haven'!B146</f>
        <v/>
      </c>
      <c r="C91" s="20">
        <f>'New Haven'!C146</f>
        <v/>
      </c>
      <c r="D91" s="20">
        <f>'New Haven'!D146</f>
        <v/>
      </c>
    </row>
    <row r="92">
      <c r="B92">
        <f>'New Haven'!B147</f>
        <v/>
      </c>
      <c r="C92" s="20">
        <f>'New Haven'!C147</f>
        <v/>
      </c>
      <c r="D92" s="20">
        <f>'New Haven'!D147</f>
        <v/>
      </c>
    </row>
    <row r="93">
      <c r="B93">
        <f>'New Haven'!B148</f>
        <v/>
      </c>
      <c r="C93" s="20">
        <f>'New Haven'!C148</f>
        <v/>
      </c>
      <c r="D93" s="20">
        <f>'New Haven'!D148</f>
        <v/>
      </c>
    </row>
    <row r="94">
      <c r="B94">
        <f>'New Haven'!B149</f>
        <v/>
      </c>
      <c r="C94" s="20">
        <f>'New Haven'!C149</f>
        <v/>
      </c>
      <c r="D94" s="20">
        <f>'New Haven'!D149</f>
        <v/>
      </c>
    </row>
    <row r="95">
      <c r="B95">
        <f>'New Haven'!B150</f>
        <v/>
      </c>
      <c r="C95" s="20">
        <f>'New Haven'!C150</f>
        <v/>
      </c>
      <c r="D95" s="20">
        <f>'New Haven'!D150</f>
        <v/>
      </c>
    </row>
    <row r="96">
      <c r="B96">
        <f>'New Haven'!B151</f>
        <v/>
      </c>
      <c r="C96" s="20">
        <f>'New Haven'!C151</f>
        <v/>
      </c>
      <c r="D96" s="20">
        <f>'New Haven'!D151</f>
        <v/>
      </c>
    </row>
    <row r="101">
      <c r="B101" s="4" t="inlineStr">
        <is>
          <t>C. Uses vs. sources, one Waterbury building (deck: city model)</t>
        </is>
      </c>
    </row>
    <row r="102">
      <c r="C102" s="4" t="inlineStr">
        <is>
          <t>Uses</t>
        </is>
      </c>
      <c r="D102" s="4" t="inlineStr">
        <is>
          <t>Sources</t>
        </is>
      </c>
    </row>
    <row r="103">
      <c r="B103">
        <f>Waterbury!B136</f>
        <v/>
      </c>
      <c r="C103" s="20">
        <f>Waterbury!C136</f>
        <v/>
      </c>
      <c r="D103" s="20">
        <f>Waterbury!D136</f>
        <v/>
      </c>
    </row>
    <row r="104">
      <c r="B104">
        <f>Waterbury!B137</f>
        <v/>
      </c>
      <c r="C104" s="20">
        <f>Waterbury!C137</f>
        <v/>
      </c>
      <c r="D104" s="20">
        <f>Waterbury!D137</f>
        <v/>
      </c>
    </row>
    <row r="105">
      <c r="B105">
        <f>Waterbury!B138</f>
        <v/>
      </c>
      <c r="C105" s="20">
        <f>Waterbury!C138</f>
        <v/>
      </c>
      <c r="D105" s="20">
        <f>Waterbury!D138</f>
        <v/>
      </c>
    </row>
    <row r="106">
      <c r="B106">
        <f>Waterbury!B139</f>
        <v/>
      </c>
      <c r="C106" s="20">
        <f>Waterbury!C139</f>
        <v/>
      </c>
      <c r="D106" s="20">
        <f>Waterbury!D139</f>
        <v/>
      </c>
    </row>
    <row r="107">
      <c r="B107">
        <f>Waterbury!B140</f>
        <v/>
      </c>
      <c r="C107" s="20">
        <f>Waterbury!C140</f>
        <v/>
      </c>
      <c r="D107" s="20">
        <f>Waterbury!D140</f>
        <v/>
      </c>
    </row>
    <row r="108">
      <c r="B108">
        <f>Waterbury!B141</f>
        <v/>
      </c>
      <c r="C108" s="20">
        <f>Waterbury!C141</f>
        <v/>
      </c>
      <c r="D108" s="20">
        <f>Waterbury!D141</f>
        <v/>
      </c>
    </row>
    <row r="109">
      <c r="B109">
        <f>Waterbury!B142</f>
        <v/>
      </c>
      <c r="C109" s="20">
        <f>Waterbury!C142</f>
        <v/>
      </c>
      <c r="D109" s="20">
        <f>Waterbury!D142</f>
        <v/>
      </c>
    </row>
    <row r="110">
      <c r="B110">
        <f>Waterbury!B143</f>
        <v/>
      </c>
      <c r="C110" s="20">
        <f>Waterbury!C143</f>
        <v/>
      </c>
      <c r="D110" s="20">
        <f>Waterbury!D143</f>
        <v/>
      </c>
    </row>
    <row r="111">
      <c r="B111">
        <f>Waterbury!B144</f>
        <v/>
      </c>
      <c r="C111" s="20">
        <f>Waterbury!C144</f>
        <v/>
      </c>
      <c r="D111" s="20">
        <f>Waterbury!D144</f>
        <v/>
      </c>
    </row>
    <row r="112">
      <c r="B112">
        <f>Waterbury!B145</f>
        <v/>
      </c>
      <c r="C112" s="20">
        <f>Waterbury!C145</f>
        <v/>
      </c>
      <c r="D112" s="20">
        <f>Waterbury!D145</f>
        <v/>
      </c>
    </row>
    <row r="113">
      <c r="B113">
        <f>Waterbury!B146</f>
        <v/>
      </c>
      <c r="C113" s="20">
        <f>Waterbury!C146</f>
        <v/>
      </c>
      <c r="D113" s="20">
        <f>Waterbury!D146</f>
        <v/>
      </c>
    </row>
    <row r="114">
      <c r="B114">
        <f>Waterbury!B147</f>
        <v/>
      </c>
      <c r="C114" s="20">
        <f>Waterbury!C147</f>
        <v/>
      </c>
      <c r="D114" s="20">
        <f>Waterbury!D147</f>
        <v/>
      </c>
    </row>
    <row r="115">
      <c r="B115">
        <f>Waterbury!B148</f>
        <v/>
      </c>
      <c r="C115" s="20">
        <f>Waterbury!C148</f>
        <v/>
      </c>
      <c r="D115" s="20">
        <f>Waterbury!D148</f>
        <v/>
      </c>
    </row>
    <row r="116">
      <c r="B116">
        <f>Waterbury!B149</f>
        <v/>
      </c>
      <c r="C116" s="20">
        <f>Waterbury!C149</f>
        <v/>
      </c>
      <c r="D116" s="20">
        <f>Waterbury!D149</f>
        <v/>
      </c>
    </row>
    <row r="117">
      <c r="B117">
        <f>Waterbury!B150</f>
        <v/>
      </c>
      <c r="C117" s="20">
        <f>Waterbury!C150</f>
        <v/>
      </c>
      <c r="D117" s="20">
        <f>Waterbury!D150</f>
        <v/>
      </c>
    </row>
    <row r="118">
      <c r="B118">
        <f>Waterbury!B151</f>
        <v/>
      </c>
      <c r="C118" s="20">
        <f>Waterbury!C151</f>
        <v/>
      </c>
      <c r="D118" s="20">
        <f>Waterbury!D151</f>
        <v/>
      </c>
    </row>
    <row r="123">
      <c r="B123" s="4" t="inlineStr">
        <is>
          <t>D. TDC per unit, modular vs. stick-built (New Haven tab; deck: modular vs. stick)</t>
        </is>
      </c>
    </row>
    <row r="124">
      <c r="B124" s="4" t="inlineStr">
        <is>
          <t>Building size</t>
        </is>
      </c>
      <c r="C124">
        <f>'New Haven'!C183&amp;" units"</f>
        <v/>
      </c>
      <c r="D124">
        <f>'New Haven'!D183&amp;" units"</f>
        <v/>
      </c>
      <c r="E124">
        <f>'New Haven'!E183&amp;" units"</f>
        <v/>
      </c>
    </row>
    <row r="125">
      <c r="B125" t="inlineStr">
        <is>
          <t>Modular</t>
        </is>
      </c>
      <c r="C125" s="20">
        <f>'New Haven'!C186</f>
        <v/>
      </c>
      <c r="D125" s="20">
        <f>'New Haven'!D186</f>
        <v/>
      </c>
      <c r="E125" s="20">
        <f>'New Haven'!E186</f>
        <v/>
      </c>
    </row>
    <row r="126">
      <c r="B126" t="inlineStr">
        <is>
          <t>Stick-built</t>
        </is>
      </c>
      <c r="C126" s="20">
        <f>'New Haven'!C188</f>
        <v/>
      </c>
      <c r="D126" s="20">
        <f>'New Haven'!D188</f>
        <v/>
      </c>
      <c r="E126" s="20">
        <f>'New Haven'!E188</f>
        <v/>
      </c>
    </row>
    <row r="127">
      <c r="B127" t="inlineStr">
        <is>
          <t>Modular saving</t>
        </is>
      </c>
      <c r="C127" s="25">
        <f>'New Haven'!C189</f>
        <v/>
      </c>
      <c r="D127" s="25">
        <f>'New Haven'!D189</f>
        <v/>
      </c>
      <c r="E127" s="25">
        <f>'New Haven'!E189</f>
        <v/>
      </c>
    </row>
    <row r="128">
      <c r="B128" t="inlineStr">
        <is>
          <t>Modular subsidy needed per unit</t>
        </is>
      </c>
      <c r="C128" s="20">
        <f>'New Haven'!C191</f>
        <v/>
      </c>
      <c r="D128" s="20">
        <f>'New Haven'!D191</f>
        <v/>
      </c>
      <c r="E128" s="20">
        <f>'New Haven'!E191</f>
        <v/>
      </c>
    </row>
    <row r="145">
      <c r="B145" s="4" t="inlineStr">
        <is>
          <t>E. Funding waterfall, one Hartford building (caps, not awards; deck: funding stack)</t>
        </is>
      </c>
    </row>
    <row r="146">
      <c r="C146" s="4" t="inlineStr">
        <is>
          <t>Base (hidden)</t>
        </is>
      </c>
      <c r="D146" s="4" t="inlineStr">
        <is>
          <t>Amount</t>
        </is>
      </c>
    </row>
    <row r="147">
      <c r="B147">
        <f>Hartford!B157</f>
        <v/>
      </c>
      <c r="C147" s="20">
        <f>Hartford!D157</f>
        <v/>
      </c>
      <c r="D147" s="20">
        <f>Hartford!E157</f>
        <v/>
      </c>
    </row>
    <row r="148">
      <c r="B148">
        <f>Hartford!B158</f>
        <v/>
      </c>
      <c r="C148" s="20">
        <f>Hartford!D158</f>
        <v/>
      </c>
      <c r="D148" s="20">
        <f>Hartford!E158</f>
        <v/>
      </c>
    </row>
    <row r="149">
      <c r="B149">
        <f>Hartford!B159</f>
        <v/>
      </c>
      <c r="C149" s="20">
        <f>Hartford!D159</f>
        <v/>
      </c>
      <c r="D149" s="20">
        <f>Hartford!E159</f>
        <v/>
      </c>
    </row>
    <row r="150">
      <c r="B150">
        <f>Hartford!B160</f>
        <v/>
      </c>
      <c r="C150" s="20">
        <f>Hartford!D160</f>
        <v/>
      </c>
      <c r="D150" s="20">
        <f>Hartford!E160</f>
        <v/>
      </c>
    </row>
    <row r="151">
      <c r="B151">
        <f>Hartford!B161</f>
        <v/>
      </c>
      <c r="C151" s="20">
        <f>Hartford!D161</f>
        <v/>
      </c>
      <c r="D151" s="20">
        <f>Hartford!E161</f>
        <v/>
      </c>
    </row>
    <row r="152">
      <c r="B152">
        <f>Hartford!B162</f>
        <v/>
      </c>
      <c r="C152" s="20">
        <f>Hartford!D162</f>
        <v/>
      </c>
      <c r="D152" s="20">
        <f>Hartford!E162</f>
        <v/>
      </c>
    </row>
    <row r="153">
      <c r="B153">
        <f>Hartford!B163</f>
        <v/>
      </c>
      <c r="C153" s="20">
        <f>Hartford!D163</f>
        <v/>
      </c>
      <c r="D153" s="20">
        <f>Hartford!E163</f>
        <v/>
      </c>
    </row>
    <row r="154">
      <c r="B154">
        <f>Hartford!B164</f>
        <v/>
      </c>
      <c r="C154" s="20">
        <f>Hartford!D164</f>
        <v/>
      </c>
      <c r="D154" s="20">
        <f>Hartford!E164</f>
        <v/>
      </c>
    </row>
    <row r="155">
      <c r="B155">
        <f>Hartford!B165</f>
        <v/>
      </c>
      <c r="C155" s="20">
        <f>Hartford!D165</f>
        <v/>
      </c>
      <c r="D155" s="20">
        <f>Hartford!E165</f>
        <v/>
      </c>
    </row>
    <row r="156">
      <c r="B156">
        <f>Hartford!B166</f>
        <v/>
      </c>
      <c r="C156" s="20">
        <f>Hartford!D166</f>
        <v/>
      </c>
      <c r="D156" s="20">
        <f>Hartford!E166</f>
        <v/>
      </c>
    </row>
    <row r="166">
      <c r="B166" s="4" t="inlineStr">
        <is>
          <t>E. Funding waterfall, one New Haven building (caps, not awards; deck: funding stack)</t>
        </is>
      </c>
    </row>
    <row r="167">
      <c r="C167" s="4" t="inlineStr">
        <is>
          <t>Base (hidden)</t>
        </is>
      </c>
      <c r="D167" s="4" t="inlineStr">
        <is>
          <t>Amount</t>
        </is>
      </c>
    </row>
    <row r="168">
      <c r="B168">
        <f>'New Haven'!B157</f>
        <v/>
      </c>
      <c r="C168" s="20">
        <f>'New Haven'!D157</f>
        <v/>
      </c>
      <c r="D168" s="20">
        <f>'New Haven'!E157</f>
        <v/>
      </c>
    </row>
    <row r="169">
      <c r="B169">
        <f>'New Haven'!B158</f>
        <v/>
      </c>
      <c r="C169" s="20">
        <f>'New Haven'!D158</f>
        <v/>
      </c>
      <c r="D169" s="20">
        <f>'New Haven'!E158</f>
        <v/>
      </c>
    </row>
    <row r="170">
      <c r="B170">
        <f>'New Haven'!B159</f>
        <v/>
      </c>
      <c r="C170" s="20">
        <f>'New Haven'!D159</f>
        <v/>
      </c>
      <c r="D170" s="20">
        <f>'New Haven'!E159</f>
        <v/>
      </c>
    </row>
    <row r="171">
      <c r="B171">
        <f>'New Haven'!B160</f>
        <v/>
      </c>
      <c r="C171" s="20">
        <f>'New Haven'!D160</f>
        <v/>
      </c>
      <c r="D171" s="20">
        <f>'New Haven'!E160</f>
        <v/>
      </c>
    </row>
    <row r="172">
      <c r="B172">
        <f>'New Haven'!B161</f>
        <v/>
      </c>
      <c r="C172" s="20">
        <f>'New Haven'!D161</f>
        <v/>
      </c>
      <c r="D172" s="20">
        <f>'New Haven'!E161</f>
        <v/>
      </c>
    </row>
    <row r="173">
      <c r="B173">
        <f>'New Haven'!B162</f>
        <v/>
      </c>
      <c r="C173" s="20">
        <f>'New Haven'!D162</f>
        <v/>
      </c>
      <c r="D173" s="20">
        <f>'New Haven'!E162</f>
        <v/>
      </c>
    </row>
    <row r="174">
      <c r="B174">
        <f>'New Haven'!B163</f>
        <v/>
      </c>
      <c r="C174" s="20">
        <f>'New Haven'!D163</f>
        <v/>
      </c>
      <c r="D174" s="20">
        <f>'New Haven'!E163</f>
        <v/>
      </c>
    </row>
    <row r="175">
      <c r="B175">
        <f>'New Haven'!B164</f>
        <v/>
      </c>
      <c r="C175" s="20">
        <f>'New Haven'!D164</f>
        <v/>
      </c>
      <c r="D175" s="20">
        <f>'New Haven'!E164</f>
        <v/>
      </c>
    </row>
    <row r="176">
      <c r="B176">
        <f>'New Haven'!B165</f>
        <v/>
      </c>
      <c r="C176" s="20">
        <f>'New Haven'!D165</f>
        <v/>
      </c>
      <c r="D176" s="20">
        <f>'New Haven'!E165</f>
        <v/>
      </c>
    </row>
    <row r="177">
      <c r="B177">
        <f>'New Haven'!B166</f>
        <v/>
      </c>
      <c r="C177" s="20">
        <f>'New Haven'!D166</f>
        <v/>
      </c>
      <c r="D177" s="20">
        <f>'New Haven'!E166</f>
        <v/>
      </c>
    </row>
    <row r="187">
      <c r="B187" s="4" t="inlineStr">
        <is>
          <t>E. Funding waterfall, one Waterbury building (caps, not awards; deck: funding stack)</t>
        </is>
      </c>
    </row>
    <row r="188">
      <c r="C188" s="4" t="inlineStr">
        <is>
          <t>Base (hidden)</t>
        </is>
      </c>
      <c r="D188" s="4" t="inlineStr">
        <is>
          <t>Amount</t>
        </is>
      </c>
    </row>
    <row r="189">
      <c r="B189">
        <f>Waterbury!B157</f>
        <v/>
      </c>
      <c r="C189" s="20">
        <f>Waterbury!D157</f>
        <v/>
      </c>
      <c r="D189" s="20">
        <f>Waterbury!E157</f>
        <v/>
      </c>
    </row>
    <row r="190">
      <c r="B190">
        <f>Waterbury!B158</f>
        <v/>
      </c>
      <c r="C190" s="20">
        <f>Waterbury!D158</f>
        <v/>
      </c>
      <c r="D190" s="20">
        <f>Waterbury!E158</f>
        <v/>
      </c>
    </row>
    <row r="191">
      <c r="B191">
        <f>Waterbury!B159</f>
        <v/>
      </c>
      <c r="C191" s="20">
        <f>Waterbury!D159</f>
        <v/>
      </c>
      <c r="D191" s="20">
        <f>Waterbury!E159</f>
        <v/>
      </c>
    </row>
    <row r="192">
      <c r="B192">
        <f>Waterbury!B160</f>
        <v/>
      </c>
      <c r="C192" s="20">
        <f>Waterbury!D160</f>
        <v/>
      </c>
      <c r="D192" s="20">
        <f>Waterbury!E160</f>
        <v/>
      </c>
    </row>
    <row r="193">
      <c r="B193">
        <f>Waterbury!B161</f>
        <v/>
      </c>
      <c r="C193" s="20">
        <f>Waterbury!D161</f>
        <v/>
      </c>
      <c r="D193" s="20">
        <f>Waterbury!E161</f>
        <v/>
      </c>
    </row>
    <row r="194">
      <c r="B194">
        <f>Waterbury!B162</f>
        <v/>
      </c>
      <c r="C194" s="20">
        <f>Waterbury!D162</f>
        <v/>
      </c>
      <c r="D194" s="20">
        <f>Waterbury!E162</f>
        <v/>
      </c>
    </row>
    <row r="195">
      <c r="B195">
        <f>Waterbury!B163</f>
        <v/>
      </c>
      <c r="C195" s="20">
        <f>Waterbury!D163</f>
        <v/>
      </c>
      <c r="D195" s="20">
        <f>Waterbury!E163</f>
        <v/>
      </c>
    </row>
    <row r="196">
      <c r="B196">
        <f>Waterbury!B164</f>
        <v/>
      </c>
      <c r="C196" s="20">
        <f>Waterbury!D164</f>
        <v/>
      </c>
      <c r="D196" s="20">
        <f>Waterbury!E164</f>
        <v/>
      </c>
    </row>
    <row r="197">
      <c r="B197">
        <f>Waterbury!B165</f>
        <v/>
      </c>
      <c r="C197" s="20">
        <f>Waterbury!D165</f>
        <v/>
      </c>
      <c r="D197" s="20">
        <f>Waterbury!E165</f>
        <v/>
      </c>
    </row>
    <row r="198">
      <c r="B198">
        <f>Waterbury!B166</f>
        <v/>
      </c>
      <c r="C198" s="20">
        <f>Waterbury!D166</f>
        <v/>
      </c>
      <c r="D198" s="20">
        <f>Waterbury!E166</f>
        <v/>
      </c>
    </row>
    <row r="208">
      <c r="B208" s="4" t="inlineStr">
        <is>
          <t>F. City profiles (deck: 'Three cities, three markets'). Series = cities.</t>
        </is>
      </c>
    </row>
    <row r="209">
      <c r="B209" s="4" t="inlineStr">
        <is>
          <t>Homeownership and local income</t>
        </is>
      </c>
      <c r="C209" s="4" t="inlineStr">
        <is>
          <t>Hartford</t>
        </is>
      </c>
      <c r="D209" s="4" t="inlineStr">
        <is>
          <t>New Haven</t>
        </is>
      </c>
      <c r="E209" s="4" t="inlineStr">
        <is>
          <t>Waterbury</t>
        </is>
      </c>
    </row>
    <row r="210">
      <c r="B210" t="inlineStr">
        <is>
          <t>Homeownership rate</t>
        </is>
      </c>
      <c r="C210" s="24">
        <f>'Market Data'!C21</f>
        <v/>
      </c>
      <c r="D210" s="24">
        <f>'Market Data'!D21</f>
        <v/>
      </c>
      <c r="E210" s="24">
        <f>'Market Data'!E21</f>
        <v/>
      </c>
    </row>
    <row r="211">
      <c r="B211" t="inlineStr">
        <is>
          <t>City median income as % of AMI</t>
        </is>
      </c>
      <c r="C211" s="24">
        <f>'Market Data'!C39</f>
        <v/>
      </c>
      <c r="D211" s="24">
        <f>'Market Data'!D39</f>
        <v/>
      </c>
      <c r="E211" s="24">
        <f>'Market Data'!E39</f>
        <v/>
      </c>
    </row>
    <row r="224">
      <c r="B224" s="4" t="inlineStr">
        <is>
          <t>Household income vs. AMI targets</t>
        </is>
      </c>
      <c r="C224" s="4" t="inlineStr">
        <is>
          <t>Hartford</t>
        </is>
      </c>
      <c r="D224" s="4" t="inlineStr">
        <is>
          <t>New Haven</t>
        </is>
      </c>
      <c r="E224" s="4" t="inlineStr">
        <is>
          <t>Waterbury</t>
        </is>
      </c>
    </row>
    <row r="225">
      <c r="B225" t="inlineStr">
        <is>
          <t>City median income</t>
        </is>
      </c>
      <c r="C225" s="20">
        <f>'Market Data'!C22</f>
        <v/>
      </c>
      <c r="D225" s="20">
        <f>'Market Data'!D22</f>
        <v/>
      </c>
      <c r="E225" s="20">
        <f>'Market Data'!E22</f>
        <v/>
      </c>
    </row>
    <row r="226">
      <c r="B226" t="inlineStr">
        <is>
          <t>60% AMI (family of 4)</t>
        </is>
      </c>
      <c r="C226" s="20">
        <f>'Market Data'!C24</f>
        <v/>
      </c>
      <c r="D226" s="20">
        <f>'Market Data'!D24</f>
        <v/>
      </c>
      <c r="E226" s="20">
        <f>'Market Data'!E24</f>
        <v/>
      </c>
    </row>
    <row r="227">
      <c r="B227" t="inlineStr">
        <is>
          <t>80% AMI (family of 4)</t>
        </is>
      </c>
      <c r="C227" s="20">
        <f>'Market Data'!C25</f>
        <v/>
      </c>
      <c r="D227" s="20">
        <f>'Market Data'!D25</f>
        <v/>
      </c>
      <c r="E227" s="20">
        <f>'Market Data'!E25</f>
        <v/>
      </c>
    </row>
    <row r="239">
      <c r="B239" s="4" t="inlineStr">
        <is>
          <t>Asking rent vs. 60% AMI limit (monthly)</t>
        </is>
      </c>
      <c r="C239" s="4" t="inlineStr">
        <is>
          <t>Hartford</t>
        </is>
      </c>
      <c r="D239" s="4" t="inlineStr">
        <is>
          <t>New Haven</t>
        </is>
      </c>
      <c r="E239" s="4" t="inlineStr">
        <is>
          <t>Waterbury</t>
        </is>
      </c>
    </row>
    <row r="240">
      <c r="B240" t="inlineStr">
        <is>
          <t>1BR asking</t>
        </is>
      </c>
      <c r="C240" s="20">
        <f>'Market Data'!C26</f>
        <v/>
      </c>
      <c r="D240" s="20">
        <f>'Market Data'!D26</f>
        <v/>
      </c>
      <c r="E240" s="20">
        <f>'Market Data'!E26</f>
        <v/>
      </c>
    </row>
    <row r="241">
      <c r="B241" t="inlineStr">
        <is>
          <t>2BR asking</t>
        </is>
      </c>
      <c r="C241" s="20">
        <f>'Market Data'!C27</f>
        <v/>
      </c>
      <c r="D241" s="20">
        <f>'Market Data'!D27</f>
        <v/>
      </c>
      <c r="E241" s="20">
        <f>'Market Data'!E27</f>
        <v/>
      </c>
    </row>
    <row r="242">
      <c r="B242" t="inlineStr">
        <is>
          <t>3BR asking</t>
        </is>
      </c>
      <c r="C242" s="20">
        <f>'Market Data'!C28</f>
        <v/>
      </c>
      <c r="D242" s="20">
        <f>'Market Data'!D28</f>
        <v/>
      </c>
      <c r="E242" s="20">
        <f>'Market Data'!E28</f>
        <v/>
      </c>
    </row>
    <row r="243">
      <c r="B243" t="inlineStr">
        <is>
          <t>60% AMI limit, 2BR</t>
        </is>
      </c>
      <c r="C243" s="20">
        <f>'Market Data'!C29</f>
        <v/>
      </c>
      <c r="D243" s="20">
        <f>'Market Data'!D29</f>
        <v/>
      </c>
      <c r="E243" s="20">
        <f>'Market Data'!E29</f>
        <v/>
      </c>
    </row>
    <row r="254">
      <c r="B254" s="4" t="inlineStr">
        <is>
          <t>Home prices</t>
        </is>
      </c>
      <c r="C254" s="4" t="inlineStr">
        <is>
          <t>Hartford</t>
        </is>
      </c>
      <c r="D254" s="4" t="inlineStr">
        <is>
          <t>New Haven</t>
        </is>
      </c>
      <c r="E254" s="4" t="inlineStr">
        <is>
          <t>Waterbury</t>
        </is>
      </c>
    </row>
    <row r="255">
      <c r="B255" t="inlineStr">
        <is>
          <t>Median sale, all homes</t>
        </is>
      </c>
      <c r="C255" s="20">
        <f>'Market Data'!C30</f>
        <v/>
      </c>
      <c r="D255" s="20">
        <f>'Market Data'!D30</f>
        <v/>
      </c>
      <c r="E255" s="20">
        <f>'Market Data'!E30</f>
        <v/>
      </c>
    </row>
    <row r="256">
      <c r="B256" t="inlineStr">
        <is>
          <t>Existing 2-unit median</t>
        </is>
      </c>
      <c r="C256" s="20">
        <f>'Market Data'!C31</f>
        <v/>
      </c>
      <c r="D256" s="20">
        <f>'Market Data'!D31</f>
        <v/>
      </c>
      <c r="E256" s="20">
        <f>'Market Data'!E31</f>
        <v/>
      </c>
    </row>
    <row r="269">
      <c r="B269" s="4" t="inlineStr">
        <is>
          <t>Need</t>
        </is>
      </c>
      <c r="C269" s="4" t="inlineStr">
        <is>
          <t>Hartford</t>
        </is>
      </c>
      <c r="D269" s="4" t="inlineStr">
        <is>
          <t>New Haven</t>
        </is>
      </c>
      <c r="E269" s="4" t="inlineStr">
        <is>
          <t>Waterbury</t>
        </is>
      </c>
    </row>
    <row r="270">
      <c r="B270" t="inlineStr">
        <is>
          <t>Renters below 50% AMI</t>
        </is>
      </c>
      <c r="C270" s="24">
        <f>'Market Data'!C32</f>
        <v/>
      </c>
      <c r="D270" s="24">
        <f>'Market Data'!D32</f>
        <v/>
      </c>
      <c r="E270" s="24">
        <f>'Market Data'!E32</f>
        <v/>
      </c>
    </row>
    <row r="271">
      <c r="B271" t="inlineStr">
        <is>
          <t>Poverty rate</t>
        </is>
      </c>
      <c r="C271" s="24">
        <f>'Market Data'!C33</f>
        <v/>
      </c>
      <c r="D271" s="24">
        <f>'Market Data'!D33</f>
        <v/>
      </c>
      <c r="E271" s="24">
        <f>'Market Data'!E33</f>
        <v/>
      </c>
    </row>
    <row r="284">
      <c r="B284" s="4" t="inlineStr">
        <is>
          <t>Residents by race and ethnicity</t>
        </is>
      </c>
      <c r="C284" s="4" t="inlineStr">
        <is>
          <t>Hartford</t>
        </is>
      </c>
      <c r="D284" s="4" t="inlineStr">
        <is>
          <t>New Haven</t>
        </is>
      </c>
      <c r="E284" s="4" t="inlineStr">
        <is>
          <t>Waterbury</t>
        </is>
      </c>
    </row>
    <row r="285">
      <c r="B285" t="inlineStr">
        <is>
          <t>Hispanic or Latino</t>
        </is>
      </c>
      <c r="C285" s="24">
        <f>'Market Data'!C34</f>
        <v/>
      </c>
      <c r="D285" s="24">
        <f>'Market Data'!D34</f>
        <v/>
      </c>
      <c r="E285" s="24">
        <f>'Market Data'!E34</f>
        <v/>
      </c>
    </row>
    <row r="286">
      <c r="B286" t="inlineStr">
        <is>
          <t>Black</t>
        </is>
      </c>
      <c r="C286" s="24">
        <f>'Market Data'!C35</f>
        <v/>
      </c>
      <c r="D286" s="24">
        <f>'Market Data'!D35</f>
        <v/>
      </c>
      <c r="E286" s="24">
        <f>'Market Data'!E35</f>
        <v/>
      </c>
    </row>
    <row r="287">
      <c r="B287" t="inlineStr">
        <is>
          <t>White, non-Hispanic</t>
        </is>
      </c>
      <c r="C287" s="24">
        <f>'Market Data'!C36</f>
        <v/>
      </c>
      <c r="D287" s="24">
        <f>'Market Data'!D36</f>
        <v/>
      </c>
      <c r="E287" s="24">
        <f>'Market Data'!E36</f>
        <v/>
      </c>
    </row>
    <row r="299">
      <c r="B299" s="4" t="inlineStr">
        <is>
          <t>G. Income ladder: household income as % of AMI (deck: 'Many can rent, few can buy')</t>
        </is>
      </c>
    </row>
    <row r="300">
      <c r="C300" s="4" t="inlineStr">
        <is>
          <t>Hartford</t>
        </is>
      </c>
      <c r="D300" s="4" t="inlineStr">
        <is>
          <t>New Haven</t>
        </is>
      </c>
      <c r="E300" s="4" t="inlineStr">
        <is>
          <t>Waterbury</t>
        </is>
      </c>
    </row>
    <row r="301">
      <c r="B301" t="inlineStr">
        <is>
          <t>Typical city household</t>
        </is>
      </c>
      <c r="C301" s="24">
        <f>'Market Data'!C39</f>
        <v/>
      </c>
      <c r="D301" s="24">
        <f>'Market Data'!D39</f>
        <v/>
      </c>
      <c r="E301" s="24">
        <f>'Market Data'!E39</f>
        <v/>
      </c>
    </row>
    <row r="302">
      <c r="B302" t="inlineStr">
        <is>
          <t>Our buyer target</t>
        </is>
      </c>
      <c r="C302" s="24">
        <f>Hartford!$C$11</f>
        <v/>
      </c>
      <c r="D302" s="24">
        <f>'New Haven'!$C$11</f>
        <v/>
      </c>
      <c r="E302" s="24">
        <f>Waterbury!$C$11</f>
        <v/>
      </c>
    </row>
    <row r="303">
      <c r="B303" t="inlineStr">
        <is>
          <t>Buyer can pay the appraised value (with rent)</t>
        </is>
      </c>
      <c r="C303" s="10" t="n">
        <v>0</v>
      </c>
      <c r="D303" s="10" t="n">
        <v>0</v>
      </c>
      <c r="E303" s="10" t="n">
        <v>0</v>
      </c>
    </row>
    <row r="304">
      <c r="B304" t="inlineStr">
        <is>
          <t>Buy the median home (all types)</t>
        </is>
      </c>
      <c r="C304" s="24">
        <f>'Market Data'!C37</f>
        <v/>
      </c>
      <c r="D304" s="24">
        <f>'Market Data'!D37</f>
        <v/>
      </c>
      <c r="E304" s="24">
        <f>'Market Data'!E37</f>
        <v/>
      </c>
    </row>
    <row r="305">
      <c r="B305" s="5" t="inlineStr">
        <is>
          <t>The crossover is the owner income at which the most the buyer can pay first reaches the appraised value (solved by the explorer; blank above 200% AMI).</t>
        </is>
      </c>
    </row>
    <row r="319">
      <c r="B319" s="4" t="inlineStr">
        <is>
          <t>H. One building: what the buyer pays vs. subsidy needed (deck: prefab slide)</t>
        </is>
      </c>
    </row>
    <row r="320">
      <c r="C320" s="4" t="inlineStr">
        <is>
          <t>Hartford</t>
        </is>
      </c>
      <c r="D320" s="4" t="inlineStr">
        <is>
          <t>New Haven</t>
        </is>
      </c>
      <c r="E320" s="4" t="inlineStr">
        <is>
          <t>Waterbury</t>
        </is>
      </c>
    </row>
    <row r="321">
      <c r="B321" t="inlineStr">
        <is>
          <t>Buyer pays</t>
        </is>
      </c>
      <c r="C321" s="20">
        <f>Hartford!$C$111</f>
        <v/>
      </c>
      <c r="D321" s="20">
        <f>'New Haven'!$C$111</f>
        <v/>
      </c>
      <c r="E321" s="20">
        <f>Waterbury!$C$111</f>
        <v/>
      </c>
    </row>
    <row r="322">
      <c r="B322" t="inlineStr">
        <is>
          <t>Subsidy needed</t>
        </is>
      </c>
      <c r="C322" s="20">
        <f>Hartford!$C$119</f>
        <v/>
      </c>
      <c r="D322" s="20">
        <f>'New Haven'!$C$119</f>
        <v/>
      </c>
      <c r="E322" s="20">
        <f>Waterbury!$C$119</f>
        <v/>
      </c>
    </row>
    <row r="337">
      <c r="B337" s="26" t="inlineStr"/>
    </row>
    <row r="338">
      <c r="C338" s="4" t="inlineStr">
        <is>
          <t>Amount</t>
        </is>
      </c>
    </row>
    <row r="339">
      <c r="B339" t="inlineStr">
        <is>
          <t>Time To Own</t>
        </is>
      </c>
      <c r="C339" s="11" t="n">
        <v>0</v>
      </c>
    </row>
    <row r="340">
      <c r="B340" t="inlineStr">
        <is>
          <t>DOH homebuyer subsidy</t>
        </is>
      </c>
      <c r="C340" s="11" t="n">
        <v>0</v>
      </c>
    </row>
    <row r="341">
      <c r="B341" t="inlineStr">
        <is>
          <t>HDF / C4C grant</t>
        </is>
      </c>
      <c r="C341" s="11" t="n">
        <v>0</v>
      </c>
    </row>
    <row r="342">
      <c r="B342" t="inlineStr">
        <is>
          <t>FHLBank Boston AHP</t>
        </is>
      </c>
      <c r="C342" s="11" t="n">
        <v>0</v>
      </c>
    </row>
    <row r="343">
      <c r="B343" t="inlineStr">
        <is>
          <t>HTCC share</t>
        </is>
      </c>
      <c r="C343" s="11" t="n">
        <v>0</v>
      </c>
    </row>
    <row r="344">
      <c r="B344" t="inlineStr">
        <is>
          <t>New Markets Tax Credits</t>
        </is>
      </c>
      <c r="C344" s="11" t="n">
        <v>0</v>
      </c>
    </row>
    <row r="345">
      <c r="B345" t="inlineStr">
        <is>
          <t>DOH developer subsidy</t>
        </is>
      </c>
      <c r="C345" s="11" t="n">
        <v>0</v>
      </c>
    </row>
    <row r="346">
      <c r="B346" t="inlineStr">
        <is>
          <t>Remaining gap</t>
        </is>
      </c>
      <c r="C346" s="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2026-10-29T16:54:39Z</dcterms:created>
  <dcterms:modified xmlns:dcterms="http://purl.org/dc/terms/" xmlns:xsi="http://www.w3.org/2001/XMLSchema-instance" xsi:type="dcterms:W3CDTF">2026-10-29T16:54:39Z</dcterms:modified>
</cp:coreProperties>
</file>